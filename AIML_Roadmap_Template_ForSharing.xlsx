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Plan" sheetId="1" state="visible" r:id="rId3"/>
    <sheet name="Course Links" sheetId="2" state="visible" r:id="rId4"/>
    <sheet name="Progres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Example: 'Numpy array ops + broadcasting done, pushed notes to GitHub repo/numpy-notes'</t>
        </r>
      </text>
    </comment>
  </commentList>
</comments>
</file>

<file path=xl/sharedStrings.xml><?xml version="1.0" encoding="utf-8"?>
<sst xmlns="http://schemas.openxmlformats.org/spreadsheetml/2006/main" count="670" uniqueCount="218">
  <si>
    <t xml:space="preserve">MY AI/ML ENGINEER JOURNEY - FULL STUDY PLAN (DSA + ML + DL + GenAI + Agentic AI + FastAPI)</t>
  </si>
  <si>
    <t xml:space="preserve">10:00-11:30 AM: DSA  |  2:00-6:00 PM: Main Track (Video Lecture)  |  10:30 PM-1:00 AM: Practice/Project  |  Mark each Status yourself  |  See 'Course Links' sheet for playlist URLs</t>
  </si>
  <si>
    <t xml:space="preserve">Day</t>
  </si>
  <si>
    <t xml:space="preserve">Phase</t>
  </si>
  <si>
    <t xml:space="preserve">DSA Topics
(10:00 - 11:30 AM)</t>
  </si>
  <si>
    <t xml:space="preserve">DSA
Status</t>
  </si>
  <si>
    <t xml:space="preserve">Main Track Subject</t>
  </si>
  <si>
    <t xml:space="preserve">Main Track Topic
(2:00 - 6:00 PM)</t>
  </si>
  <si>
    <t xml:space="preserve">Main Track
Status</t>
  </si>
  <si>
    <t xml:space="preserve">Practice / Project
(10:30 PM - 1:00 AM)</t>
  </si>
  <si>
    <t xml:space="preserve">Practice
Status</t>
  </si>
  <si>
    <t xml:space="preserve">Notes (what I did / GitHub link)</t>
  </si>
  <si>
    <t xml:space="preserve">DSA + ML Foundations</t>
  </si>
  <si>
    <t xml:space="preserve">Time &amp; Space Complexity: Big-O Notation, Space Complexity Analysis</t>
  </si>
  <si>
    <t xml:space="preserve">No</t>
  </si>
  <si>
    <t xml:space="preserve">ML (100 Days - CampusX)</t>
  </si>
  <si>
    <t xml:space="preserve">Python for Data Science - Numpy</t>
  </si>
  <si>
    <t xml:space="preserve">Implement today's ML topic in Jupyter/Colab on a real dataset (Kaggle)</t>
  </si>
  <si>
    <t xml:space="preserve">Arrays: Traverse Array, Find Max/Min Element, Second Largest Element</t>
  </si>
  <si>
    <t xml:space="preserve">Python for Data Science - Pandas</t>
  </si>
  <si>
    <t xml:space="preserve">Arrays: Reverse Array, Rotate Array (Left/Right), Move Zeros to End</t>
  </si>
  <si>
    <t xml:space="preserve">Data Visualization - Matplotlib &amp; Seaborn</t>
  </si>
  <si>
    <t xml:space="preserve">Strings: Reverse String, Palindrome Check, Count Vowels/Consonants</t>
  </si>
  <si>
    <t xml:space="preserve">Exploratory Data Analysis (EDA)</t>
  </si>
  <si>
    <t xml:space="preserve">Strings + Searching: Anagram Check, Linear Search, Binary Search</t>
  </si>
  <si>
    <t xml:space="preserve">Feature Scaling - Standardization</t>
  </si>
  <si>
    <t xml:space="preserve">Sorting: Bubble Sort, Selection Sort, Insertion Sort</t>
  </si>
  <si>
    <t xml:space="preserve">Feature Scaling - Normalization</t>
  </si>
  <si>
    <t xml:space="preserve">Linked List: Singly Linked List Implementation, Insert/Delete Node, Reverse Linked List</t>
  </si>
  <si>
    <t xml:space="preserve">Encoding Categorical Data - Ordinal &amp; Label Encoding</t>
  </si>
  <si>
    <t xml:space="preserve">Stack + Queue + Recursion Intro: Stack using Array, Queue using Array, Factorial using Recursion</t>
  </si>
  <si>
    <t xml:space="preserve">One Hot Encoding</t>
  </si>
  <si>
    <t xml:space="preserve">[Round 1] Arrays: Kadane's Algorithm (Max Subarray Sum), Trapping Rain Water, Pair with Given Sum</t>
  </si>
  <si>
    <t xml:space="preserve">Column Transformer, Pipelines, Function Transformer</t>
  </si>
  <si>
    <t xml:space="preserve">[Round 1] Strings: Longest Substring Without Repeating Chars, String Compression, Check String Rotation</t>
  </si>
  <si>
    <t xml:space="preserve">Power Transformer, Binning &amp; Binarization</t>
  </si>
  <si>
    <t xml:space="preserve">[Round 1] Hashing: Two Sum, Frequency Counting, Subarray Sum Equals K</t>
  </si>
  <si>
    <t xml:space="preserve">Handling Missing Data - Simple Imputer</t>
  </si>
  <si>
    <t xml:space="preserve">[Round 1] Two Pointers: Container With Most Water, 3Sum Problem, Sort Colors (Dutch National Flag)</t>
  </si>
  <si>
    <t xml:space="preserve">Handling Missing Data - KNN Imputer, Iterative Imputer</t>
  </si>
  <si>
    <t xml:space="preserve">[Round 1] Sliding Window: Max Sum Subarray of Size K, Longest Substring with K Distinct Chars</t>
  </si>
  <si>
    <t xml:space="preserve">Outlier Detection &amp; Treatment</t>
  </si>
  <si>
    <t xml:space="preserve">[Round 1] Linked List: Merge Two Sorted Lists, Remove Nth Node From End, Detect &amp; Remove Cycle</t>
  </si>
  <si>
    <t xml:space="preserve">Feature Construction &amp; Feature Selection</t>
  </si>
  <si>
    <t xml:space="preserve">[Round 1] Stack: Valid Parentheses, Min Stack, Next Greater Element</t>
  </si>
  <si>
    <t xml:space="preserve">Curse of Dimensionality &amp; PCA - Part 1</t>
  </si>
  <si>
    <t xml:space="preserve">[Round 1] Queue: Circular Queue, Implement Queue using Stacks, Sliding Window Maximum</t>
  </si>
  <si>
    <t xml:space="preserve">PCA - Part 2 (Practical Implementation)</t>
  </si>
  <si>
    <t xml:space="preserve">[Round 1] Recursion: Subsets Generation, Permutations, Combination Sum</t>
  </si>
  <si>
    <t xml:space="preserve">Simple Linear Regression</t>
  </si>
  <si>
    <t xml:space="preserve">[Round 1] Backtracking: N-Queens Problem, Rat in a Maze, Sudoku Solver (Intro)</t>
  </si>
  <si>
    <t xml:space="preserve">Multiple Linear Regression + Regression Metrics</t>
  </si>
  <si>
    <t xml:space="preserve">[Round 1] Binary Trees: Inorder/Preorder/Postorder Traversal, Level Order Traversal, Height &amp; Diameter of Tree</t>
  </si>
  <si>
    <t xml:space="preserve">Gradient Descent - Batch/Stochastic/Mini-batch</t>
  </si>
  <si>
    <t xml:space="preserve">[Round 1] BST: Insert/Search/Delete in BST, Validate BST, Lowest Common Ancestor (LCA)</t>
  </si>
  <si>
    <t xml:space="preserve">Polynomial Regression + Ridge Regression</t>
  </si>
  <si>
    <t xml:space="preserve">[Round 1] Heaps: Kth Largest Element, Build Min/Max Heap, Merge K Sorted Lists</t>
  </si>
  <si>
    <t xml:space="preserve">Lasso Regression + ElasticNet</t>
  </si>
  <si>
    <t xml:space="preserve">[Round 1] Graphs: BFS Traversal, DFS Traversal, Number of Islands</t>
  </si>
  <si>
    <t xml:space="preserve">Logistic Regression + Classification Metrics</t>
  </si>
  <si>
    <t xml:space="preserve">[Round 1] Graph Problems: Cycle Detection (Directed/Undirected), Connected Components, Topological Sort</t>
  </si>
  <si>
    <t xml:space="preserve">Decision Trees</t>
  </si>
  <si>
    <t xml:space="preserve">[Round 1] DP (1D): Fibonacci using DP, Climbing Stairs, House Robber Problem</t>
  </si>
  <si>
    <t xml:space="preserve">Ensemble Learning - Bagging &amp; Random Forest</t>
  </si>
  <si>
    <t xml:space="preserve">[Round 1] DP (2D): 0/1 Knapsack, Longest Common Subsequence, Coin Change Problem</t>
  </si>
  <si>
    <t xml:space="preserve">Boosting - AdaBoost, Gradient Boosting, XGBoost</t>
  </si>
  <si>
    <t xml:space="preserve">[Round 1] Greedy: Activity Selection Problem, Fractional Knapsack, Job Sequencing with Deadlines</t>
  </si>
  <si>
    <t xml:space="preserve">KNN, Naive Bayes, SVM</t>
  </si>
  <si>
    <t xml:space="preserve">[Round 1] Sorting: Merge Sort, Quick Sort, Counting Sort</t>
  </si>
  <si>
    <t xml:space="preserve">Clustering - KMeans, Hierarchical, DBSCAN</t>
  </si>
  <si>
    <t xml:space="preserve">DL (100 Days - CampusX)</t>
  </si>
  <si>
    <t xml:space="preserve">[Round 1] Mixed Practice: Revise weak topics + solve 3 mixed problems from above list</t>
  </si>
  <si>
    <t xml:space="preserve">Deep Learning Intro + Perceptron</t>
  </si>
  <si>
    <t xml:space="preserve">Implement today's DL topic in TensorFlow/Keras on a sample dataset</t>
  </si>
  <si>
    <t xml:space="preserve">[Round 2] Arrays: Kadane's Algorithm (Max Subarray Sum), Trapping Rain Water, Pair with Given Sum</t>
  </si>
  <si>
    <t xml:space="preserve">Multilayer Perceptron (MLP) + Forward Propagation</t>
  </si>
  <si>
    <t xml:space="preserve">[Round 2] Strings: Longest Substring Without Repeating Chars, String Compression, Check String Rotation</t>
  </si>
  <si>
    <t xml:space="preserve">Backpropagation - Intuition &amp; Math</t>
  </si>
  <si>
    <t xml:space="preserve">[Round 2] Hashing: Two Sum, Frequency Counting, Subarray Sum Equals K</t>
  </si>
  <si>
    <t xml:space="preserve">Loss Functions + Gradient Descent for Neural Nets</t>
  </si>
  <si>
    <t xml:space="preserve">[Round 2] Two Pointers: Container With Most Water, 3Sum Problem, Sort Colors (Dutch National Flag)</t>
  </si>
  <si>
    <t xml:space="preserve">Vanishing/Exploding Gradient Problem</t>
  </si>
  <si>
    <t xml:space="preserve">[Round 2] Sliding Window: Max Sum Subarray of Size K, Longest Substring with K Distinct Chars</t>
  </si>
  <si>
    <t xml:space="preserve">Optimizers - SGD, Momentum, RMSProp, Adam</t>
  </si>
  <si>
    <t xml:space="preserve">[Round 2] Linked List: Merge Two Sorted Lists, Remove Nth Node From End, Detect &amp; Remove Cycle</t>
  </si>
  <si>
    <t xml:space="preserve">Regularization - Dropout, Early Stopping</t>
  </si>
  <si>
    <t xml:space="preserve">[Round 2] Stack: Valid Parentheses, Min Stack, Next Greater Element</t>
  </si>
  <si>
    <t xml:space="preserve">Batch Normalization + Weight Initialization</t>
  </si>
  <si>
    <t xml:space="preserve">[Round 2] Queue: Circular Queue, Implement Queue using Stacks, Sliding Window Maximum</t>
  </si>
  <si>
    <t xml:space="preserve">Keras/TensorFlow Practical - ANN Implementation</t>
  </si>
  <si>
    <t xml:space="preserve">[Round 2] Recursion: Subsets Generation, Permutations, Combination Sum</t>
  </si>
  <si>
    <t xml:space="preserve">CNN - Convolution &amp; Pooling Basics</t>
  </si>
  <si>
    <t xml:space="preserve">[Round 2] Backtracking: N-Queens Problem, Rat in a Maze, Sudoku Solver (Intro)</t>
  </si>
  <si>
    <t xml:space="preserve">CNN Architecture - Practical Implementation</t>
  </si>
  <si>
    <t xml:space="preserve">[Round 2] Binary Trees: Inorder/Preorder/Postorder Traversal, Level Order Traversal, Height &amp; Diameter of Tree</t>
  </si>
  <si>
    <t xml:space="preserve">Famous CNN Architectures (LeNet, VGG, ResNet)</t>
  </si>
  <si>
    <t xml:space="preserve">[Round 2] BST: Insert/Search/Delete in BST, Validate BST, Lowest Common Ancestor (LCA)</t>
  </si>
  <si>
    <t xml:space="preserve">RNN - Basics &amp; Working</t>
  </si>
  <si>
    <t xml:space="preserve">[Round 2] Heaps: Kth Largest Element, Build Min/Max Heap, Merge K Sorted Lists</t>
  </si>
  <si>
    <t xml:space="preserve">LSTM &amp; GRU</t>
  </si>
  <si>
    <t xml:space="preserve">[Round 2] Graphs: BFS Traversal, DFS Traversal, Number of Islands</t>
  </si>
  <si>
    <t xml:space="preserve">Seq2Seq Models + Attention Mechanism</t>
  </si>
  <si>
    <t xml:space="preserve">[Round 2] Graph Problems: Cycle Detection (Directed/Undirected), Connected Components, Topological Sort</t>
  </si>
  <si>
    <t xml:space="preserve">Transfer Learning + Practical Project</t>
  </si>
  <si>
    <t xml:space="preserve">GenAI using LangChain</t>
  </si>
  <si>
    <t xml:space="preserve">[Round 2] DP (1D): Fibonacci using DP, Climbing Stairs, House Robber Problem</t>
  </si>
  <si>
    <t xml:space="preserve">LangChain Basics - Models, Prompts, Chains</t>
  </si>
  <si>
    <t xml:space="preserve">Build a small hands-on LangChain script using today's concept</t>
  </si>
  <si>
    <t xml:space="preserve">[Round 2] DP (2D): 0/1 Knapsack, Longest Common Subsequence, Coin Change Problem</t>
  </si>
  <si>
    <t xml:space="preserve">Memory, Document Loaders &amp; Vector Stores</t>
  </si>
  <si>
    <t xml:space="preserve">[Round 2] Greedy: Activity Selection Problem, Fractional Knapsack, Job Sequencing with Deadlines</t>
  </si>
  <si>
    <t xml:space="preserve">RAG (Retrieval Augmented Generation) - Full Implementation</t>
  </si>
  <si>
    <t xml:space="preserve">Agentic AI (LangGraph)</t>
  </si>
  <si>
    <t xml:space="preserve">[Round 2] Sorting: Merge Sort, Quick Sort, Counting Sort</t>
  </si>
  <si>
    <t xml:space="preserve">Agentic AI Fundamentals + LangGraph Basics</t>
  </si>
  <si>
    <t xml:space="preserve">Build a small LangGraph agent using today's concept</t>
  </si>
  <si>
    <t xml:space="preserve">[Round 2] Mixed Practice: Revise weak topics + solve 3 mixed problems from above list</t>
  </si>
  <si>
    <t xml:space="preserve">State Graphs, Nodes &amp; Edges</t>
  </si>
  <si>
    <t xml:space="preserve">[Round 3] Arrays: Kadane's Algorithm (Max Subarray Sum), Trapping Rain Water, Pair with Given Sum</t>
  </si>
  <si>
    <t xml:space="preserve">Tool Calling + Multi-Agent Systems</t>
  </si>
  <si>
    <t xml:space="preserve">[Round 3] Strings: Longest Substring Without Repeating Chars, String Compression, Check String Rotation</t>
  </si>
  <si>
    <t xml:space="preserve">Human-in-the-loop + Deployment</t>
  </si>
  <si>
    <t xml:space="preserve">FastAPI for ML</t>
  </si>
  <si>
    <t xml:space="preserve">[Round 3] Hashing: Two Sum, Frequency Counting, Subarray Sum Equals K</t>
  </si>
  <si>
    <t xml:space="preserve">FastAPI Basics - Routes, Request/Response</t>
  </si>
  <si>
    <t xml:space="preserve">Practice deploying a sample model API using today's concept</t>
  </si>
  <si>
    <t xml:space="preserve">[Round 3] Two Pointers: Container With Most Water, 3Sum Problem, Sort Colors (Dutch National Flag)</t>
  </si>
  <si>
    <t xml:space="preserve">Serving ML Models as API</t>
  </si>
  <si>
    <t xml:space="preserve">[Round 3] Sliding Window: Max Sum Subarray of Size K, Longest Substring with K Distinct Chars</t>
  </si>
  <si>
    <t xml:space="preserve">Deployment (Docker / Cloud)</t>
  </si>
  <si>
    <t xml:space="preserve">Portfolio Projects</t>
  </si>
  <si>
    <t xml:space="preserve">[Round 3] Linked List: Merge Two Sorted Lists, Remove Nth Node From End, Detect &amp; Remove Cycle</t>
  </si>
  <si>
    <t xml:space="preserve">Project 1 (ML) - Problem Selection + EDA + Preprocessing</t>
  </si>
  <si>
    <t xml:space="preserve">Continue project work - coding, debugging, testing</t>
  </si>
  <si>
    <t xml:space="preserve">[Round 3] Stack: Valid Parentheses, Min Stack, Next Greater Element</t>
  </si>
  <si>
    <t xml:space="preserve">Project 1 (ML) - Model Building + Evaluation</t>
  </si>
  <si>
    <t xml:space="preserve">[Round 3] Queue: Circular Queue, Implement Queue using Stacks, Sliding Window Maximum</t>
  </si>
  <si>
    <t xml:space="preserve">Project 1 (ML) - FastAPI Deployment + GitHub + README</t>
  </si>
  <si>
    <t xml:space="preserve">[Round 3] Recursion: Subsets Generation, Permutations, Combination Sum</t>
  </si>
  <si>
    <t xml:space="preserve">Project 2 (GenAI) - RAG Chatbot - Setup + Data Pipeline</t>
  </si>
  <si>
    <t xml:space="preserve">[Round 3] Backtracking: N-Queens Problem, Rat in a Maze, Sudoku Solver (Intro)</t>
  </si>
  <si>
    <t xml:space="preserve">Project 2 (GenAI) - RAG Chatbot - Build + Test</t>
  </si>
  <si>
    <t xml:space="preserve">[Round 3] Binary Trees: Inorder/Preorder/Postorder Traversal, Level Order Traversal, Height &amp; Diameter of Tree</t>
  </si>
  <si>
    <t xml:space="preserve">Project 2 (Agentic) - LangGraph Agent - Build</t>
  </si>
  <si>
    <t xml:space="preserve">[Round 3] BST: Insert/Search/Delete in BST, Validate BST, Lowest Common Ancestor (LCA)</t>
  </si>
  <si>
    <t xml:space="preserve">Project 2 - Deployment + Documentation + GitHub Push</t>
  </si>
  <si>
    <t xml:space="preserve">Revision &amp; Interview Prep</t>
  </si>
  <si>
    <t xml:space="preserve">[Round 3] Heaps: Kth Largest Element, Build Min/Max Heap, Merge K Sorted Lists</t>
  </si>
  <si>
    <t xml:space="preserve">Revision - ML Core Concepts + Weak Topics</t>
  </si>
  <si>
    <t xml:space="preserve">Revise notes, solve mixed problems, mock Q&amp;A practice</t>
  </si>
  <si>
    <t xml:space="preserve">[Round 3] Graphs: BFS Traversal, DFS Traversal, Number of Islands</t>
  </si>
  <si>
    <t xml:space="preserve">Revision - DL Core Concepts + Weak Topics</t>
  </si>
  <si>
    <t xml:space="preserve">[Round 3] Graph Problems: Cycle Detection (Directed/Undirected), Connected Components, Topological Sort</t>
  </si>
  <si>
    <t xml:space="preserve">Revision - GenAI + Agentic AI Concepts</t>
  </si>
  <si>
    <t xml:space="preserve">[Round 3] DP (1D): Fibonacci using DP, Climbing Stairs, House Robber Problem</t>
  </si>
  <si>
    <t xml:space="preserve">DSA Full Revision - Round 1</t>
  </si>
  <si>
    <t xml:space="preserve">[Round 3] DP (2D): 0/1 Knapsack, Longest Common Subsequence, Coin Change Problem</t>
  </si>
  <si>
    <t xml:space="preserve">DSA Full Revision - Round 2</t>
  </si>
  <si>
    <t xml:space="preserve">[Round 3] Greedy: Activity Selection Problem, Fractional Knapsack, Job Sequencing with Deadlines</t>
  </si>
  <si>
    <t xml:space="preserve">Resume Building + GitHub Profile Polish</t>
  </si>
  <si>
    <t xml:space="preserve">[Round 3] Sorting: Merge Sort, Quick Sort, Counting Sort</t>
  </si>
  <si>
    <t xml:space="preserve">Mock Interview Prep (ML Theory + Projects Q&amp;A)</t>
  </si>
  <si>
    <t xml:space="preserve">[Round 3] Mixed Practice: Revise weak topics + solve 3 mixed problems from above list</t>
  </si>
  <si>
    <t xml:space="preserve">Build LinkedIn Post / Portfolio Summary of Full Journey</t>
  </si>
  <si>
    <t xml:space="preserve">[Round 4] Arrays: Kadane's Algorithm (Max Subarray Sum), Trapping Rain Water, Pair with Given Sum</t>
  </si>
  <si>
    <t xml:space="preserve">Mock Coding Test - DSA (Timed, 5 Problems)</t>
  </si>
  <si>
    <t xml:space="preserve">[Round 4] Strings: Longest Substring Without Repeating Chars, String Compression, Check String Rotation</t>
  </si>
  <si>
    <t xml:space="preserve">Mock ML Case Study Interview</t>
  </si>
  <si>
    <t xml:space="preserve">[Round 4] Hashing: Two Sum, Frequency Counting, Subarray Sum Equals K</t>
  </si>
  <si>
    <t xml:space="preserve">ML System Design Basics (Intro)</t>
  </si>
  <si>
    <t xml:space="preserve">[Round 4] Two Pointers: Container With Most Water, 3Sum Problem, Sort Colors (Dutch National Flag)</t>
  </si>
  <si>
    <t xml:space="preserve">SQL Revision for Data Roles (Joins, Window Functions)</t>
  </si>
  <si>
    <t xml:space="preserve">[Round 4] Sliding Window: Max Sum Subarray of Size K, Longest Substring with K Distinct Chars</t>
  </si>
  <si>
    <t xml:space="preserve">Apply to Jobs / Update Resume Based on Feedback</t>
  </si>
  <si>
    <t xml:space="preserve">[Round 4] Linked List: Merge Two Sorted Lists, Remove Nth Node From End, Detect &amp; Remove Cycle</t>
  </si>
  <si>
    <t xml:space="preserve">Final Full Mock Interview</t>
  </si>
  <si>
    <t xml:space="preserve">[Round 4] Stack: Valid Parentheses, Min Stack, Next Greater Element</t>
  </si>
  <si>
    <t xml:space="preserve">Final Revision + Reflection Day</t>
  </si>
  <si>
    <t xml:space="preserve">COURSE PLAYLIST LINKS (Full Roadmap)</t>
  </si>
  <si>
    <t xml:space="preserve">Track</t>
  </si>
  <si>
    <t xml:space="preserve">Playlist Link (click to open)</t>
  </si>
  <si>
    <t xml:space="preserve">Channel</t>
  </si>
  <si>
    <t xml:space="preserve">DSA (Code &amp; Debug)</t>
  </si>
  <si>
    <t xml:space="preserve">https://www.youtube.com/playlist?list=PLhR2IpV1b2FwWwviBHRrR118YAaSlyhTU</t>
  </si>
  <si>
    <t xml:space="preserve">Code and Debug</t>
  </si>
  <si>
    <t xml:space="preserve">https://www.youtube.com/playlist?list=PLKnIA16_Rmvbr7zKYQuBfsVkjoLcJgxHH</t>
  </si>
  <si>
    <t xml:space="preserve">CampusX</t>
  </si>
  <si>
    <t xml:space="preserve">https://www.youtube.com/playlist?list=PLKnIA16_RmvYuZauWaPlRTC54KxSNLtNn</t>
  </si>
  <si>
    <t xml:space="preserve">https://www.youtube.com/playlist?list=PLKnIA16_RmvaTbihpo4MtzVm4XOQa0ER0</t>
  </si>
  <si>
    <t xml:space="preserve">https://www.youtube.com/playlist?list=PLKnIA16_RmvYsvB8qkUQuJmJNuiCUJFPL</t>
  </si>
  <si>
    <t xml:space="preserve">https://www.youtube.com/playlist?list=PLKnIA16_RmvZ41tjbKB2ZnwchfniNsMuQ</t>
  </si>
  <si>
    <t xml:space="preserve">Use this table as your public roadmap reference when posting your journey on LinkedIn.</t>
  </si>
  <si>
    <t xml:space="preserve">PROGRESS SUMMARY</t>
  </si>
  <si>
    <t xml:space="preserve">Metric</t>
  </si>
  <si>
    <t xml:space="preserve">Value</t>
  </si>
  <si>
    <t xml:space="preserve">Total Days in Journey</t>
  </si>
  <si>
    <t xml:space="preserve">DSA Topics Completed</t>
  </si>
  <si>
    <t xml:space="preserve">DSA Topics Remaining</t>
  </si>
  <si>
    <t xml:space="preserve">DSA % Completed</t>
  </si>
  <si>
    <t xml:space="preserve">Main Track Topics Completed</t>
  </si>
  <si>
    <t xml:space="preserve">Main Track Topics Remaining</t>
  </si>
  <si>
    <t xml:space="preserve">Main Track % Completed</t>
  </si>
  <si>
    <t xml:space="preserve">Practice/Project Days Completed</t>
  </si>
  <si>
    <t xml:space="preserve">Practice % Completed</t>
  </si>
  <si>
    <t xml:space="preserve">Overall Completion % (avg of all 3)</t>
  </si>
  <si>
    <t xml:space="preserve">PHASE BREAKDOWN</t>
  </si>
  <si>
    <t xml:space="preserve">Days</t>
  </si>
  <si>
    <t xml:space="preserve">Day Range</t>
  </si>
  <si>
    <t xml:space="preserve">Day 1 - 8</t>
  </si>
  <si>
    <t xml:space="preserve">Day 9 - 27</t>
  </si>
  <si>
    <t xml:space="preserve">Day 28 - 43</t>
  </si>
  <si>
    <t xml:space="preserve">Day 44 - 46</t>
  </si>
  <si>
    <t xml:space="preserve">Day 47 - 50</t>
  </si>
  <si>
    <t xml:space="preserve">Day 51 - 53</t>
  </si>
  <si>
    <t xml:space="preserve">Day 54 - 60</t>
  </si>
  <si>
    <t xml:space="preserve">Day 61 - 75</t>
  </si>
  <si>
    <t xml:space="preserve">NOTE:</t>
  </si>
  <si>
    <t xml:space="preserve">Day 1 = the actual day you started the whole course (DSA + ML basics). Each day now has 3 separate Status columns - DSA, Main Track, and Practice - mark each Yes/No independently so your progress is tracked topic-wise, not just day-wise. DSA topics list 2-3 specific named problems per day (e.g. Palindrome Check, Kadane's Algorithm) covering only topics relevant for AI/ML interviews - advanced DSA (Segment Tree, Trie, Dijkstra, hard DP) is skipped as it's not essential for an AI/ML Engineer role. See the 'Course Links' sheet for the real playlist URLs to reference in your LinkedIn posts.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</si>
</sst>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2E4F"/>
        <bgColor rgb="FF333333"/>
      </patternFill>
    </fill>
    <fill>
      <patternFill patternType="solid">
        <fgColor rgb="FF1F4E78"/>
        <bgColor rgb="FF0B2E4F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4CCC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9E1F2"/>
      <rgbColor rgb="FFFFC7CE"/>
      <rgbColor rgb="FFEAD1DC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E4F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hR2IpV1b2FwWwviBHRrR118YAaSlyhTU" TargetMode="External"/><Relationship Id="rId2" Type="http://schemas.openxmlformats.org/officeDocument/2006/relationships/hyperlink" Target="https://www.youtube.com/playlist?list=PLKnIA16_Rmvbr7zKYQuBfsVkjoLcJgxHH" TargetMode="External"/><Relationship Id="rId3" Type="http://schemas.openxmlformats.org/officeDocument/2006/relationships/hyperlink" Target="https://www.youtube.com/playlist?list=PLKnIA16_RmvYuZauWaPlRTC54KxSNLtNn" TargetMode="External"/><Relationship Id="rId4" Type="http://schemas.openxmlformats.org/officeDocument/2006/relationships/hyperlink" Target="https://www.youtube.com/playlist?list=PLKnIA16_RmvaTbihpo4MtzVm4XOQa0ER0" TargetMode="External"/><Relationship Id="rId5" Type="http://schemas.openxmlformats.org/officeDocument/2006/relationships/hyperlink" Target="https://www.youtube.com/playlist?list=PLKnIA16_RmvYsvB8qkUQuJmJNuiCUJFPL" TargetMode="External"/><Relationship Id="rId6" Type="http://schemas.openxmlformats.org/officeDocument/2006/relationships/hyperlink" Target="https://www.youtube.com/playlist?list=PLKnIA16_RmvZ41tjbKB2ZnwchfniNsMuQ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40"/>
    <col collapsed="false" customWidth="true" hidden="false" outlineLevel="0" max="7" min="7" style="1" width="10"/>
    <col collapsed="false" customWidth="true" hidden="false" outlineLevel="0" max="8" min="8" style="1" width="36"/>
    <col collapsed="false" customWidth="true" hidden="false" outlineLevel="0" max="9" min="9" style="1" width="10"/>
    <col collapsed="false" customWidth="true" hidden="false" outlineLevel="0" max="10" min="10" style="1" width="3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49.5" hidden="false" customHeight="true" outlineLevel="0" collapsed="false">
      <c r="A5" s="5" t="n">
        <v>1</v>
      </c>
      <c r="B5" s="6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5" t="s">
        <v>14</v>
      </c>
      <c r="H5" s="6" t="s">
        <v>17</v>
      </c>
      <c r="I5" s="5" t="s">
        <v>14</v>
      </c>
      <c r="J5" s="6"/>
    </row>
    <row r="6" customFormat="false" ht="49.5" hidden="false" customHeight="true" outlineLevel="0" collapsed="false">
      <c r="A6" s="5" t="n">
        <v>2</v>
      </c>
      <c r="B6" s="6" t="s">
        <v>12</v>
      </c>
      <c r="C6" s="6" t="s">
        <v>18</v>
      </c>
      <c r="D6" s="5" t="s">
        <v>14</v>
      </c>
      <c r="E6" s="6" t="s">
        <v>15</v>
      </c>
      <c r="F6" s="6" t="s">
        <v>19</v>
      </c>
      <c r="G6" s="5" t="s">
        <v>14</v>
      </c>
      <c r="H6" s="6" t="s">
        <v>17</v>
      </c>
      <c r="I6" s="5" t="s">
        <v>14</v>
      </c>
      <c r="J6" s="6"/>
    </row>
    <row r="7" customFormat="false" ht="49.5" hidden="false" customHeight="true" outlineLevel="0" collapsed="false">
      <c r="A7" s="5" t="n">
        <v>3</v>
      </c>
      <c r="B7" s="6" t="s">
        <v>12</v>
      </c>
      <c r="C7" s="6" t="s">
        <v>20</v>
      </c>
      <c r="D7" s="5" t="s">
        <v>14</v>
      </c>
      <c r="E7" s="6" t="s">
        <v>15</v>
      </c>
      <c r="F7" s="6" t="s">
        <v>21</v>
      </c>
      <c r="G7" s="5" t="s">
        <v>14</v>
      </c>
      <c r="H7" s="6" t="s">
        <v>17</v>
      </c>
      <c r="I7" s="5" t="s">
        <v>14</v>
      </c>
      <c r="J7" s="6"/>
    </row>
    <row r="8" customFormat="false" ht="49.5" hidden="false" customHeight="true" outlineLevel="0" collapsed="false">
      <c r="A8" s="5" t="n">
        <v>4</v>
      </c>
      <c r="B8" s="6" t="s">
        <v>12</v>
      </c>
      <c r="C8" s="6" t="s">
        <v>22</v>
      </c>
      <c r="D8" s="5" t="s">
        <v>14</v>
      </c>
      <c r="E8" s="6" t="s">
        <v>15</v>
      </c>
      <c r="F8" s="6" t="s">
        <v>23</v>
      </c>
      <c r="G8" s="5" t="s">
        <v>14</v>
      </c>
      <c r="H8" s="6" t="s">
        <v>17</v>
      </c>
      <c r="I8" s="5" t="s">
        <v>14</v>
      </c>
      <c r="J8" s="6"/>
    </row>
    <row r="9" customFormat="false" ht="49.5" hidden="false" customHeight="true" outlineLevel="0" collapsed="false">
      <c r="A9" s="5" t="n">
        <v>5</v>
      </c>
      <c r="B9" s="6" t="s">
        <v>12</v>
      </c>
      <c r="C9" s="6" t="s">
        <v>24</v>
      </c>
      <c r="D9" s="5" t="s">
        <v>14</v>
      </c>
      <c r="E9" s="6" t="s">
        <v>15</v>
      </c>
      <c r="F9" s="6" t="s">
        <v>25</v>
      </c>
      <c r="G9" s="5" t="s">
        <v>14</v>
      </c>
      <c r="H9" s="6" t="s">
        <v>17</v>
      </c>
      <c r="I9" s="5" t="s">
        <v>14</v>
      </c>
      <c r="J9" s="6"/>
    </row>
    <row r="10" customFormat="false" ht="49.5" hidden="false" customHeight="true" outlineLevel="0" collapsed="false">
      <c r="A10" s="5" t="n">
        <v>6</v>
      </c>
      <c r="B10" s="6" t="s">
        <v>12</v>
      </c>
      <c r="C10" s="6" t="s">
        <v>26</v>
      </c>
      <c r="D10" s="5" t="s">
        <v>14</v>
      </c>
      <c r="E10" s="6" t="s">
        <v>15</v>
      </c>
      <c r="F10" s="6" t="s">
        <v>27</v>
      </c>
      <c r="G10" s="5" t="s">
        <v>14</v>
      </c>
      <c r="H10" s="6" t="s">
        <v>17</v>
      </c>
      <c r="I10" s="5" t="s">
        <v>14</v>
      </c>
      <c r="J10" s="6"/>
    </row>
    <row r="11" customFormat="false" ht="49.5" hidden="false" customHeight="true" outlineLevel="0" collapsed="false">
      <c r="A11" s="5" t="n">
        <v>7</v>
      </c>
      <c r="B11" s="6" t="s">
        <v>12</v>
      </c>
      <c r="C11" s="6" t="s">
        <v>28</v>
      </c>
      <c r="D11" s="5" t="s">
        <v>14</v>
      </c>
      <c r="E11" s="6" t="s">
        <v>15</v>
      </c>
      <c r="F11" s="6" t="s">
        <v>29</v>
      </c>
      <c r="G11" s="5" t="s">
        <v>14</v>
      </c>
      <c r="H11" s="6" t="s">
        <v>17</v>
      </c>
      <c r="I11" s="5" t="s">
        <v>14</v>
      </c>
      <c r="J11" s="6"/>
    </row>
    <row r="12" customFormat="false" ht="49.5" hidden="false" customHeight="true" outlineLevel="0" collapsed="false">
      <c r="A12" s="5" t="n">
        <v>8</v>
      </c>
      <c r="B12" s="6" t="s">
        <v>12</v>
      </c>
      <c r="C12" s="6" t="s">
        <v>30</v>
      </c>
      <c r="D12" s="5" t="s">
        <v>14</v>
      </c>
      <c r="E12" s="6" t="s">
        <v>15</v>
      </c>
      <c r="F12" s="6" t="s">
        <v>31</v>
      </c>
      <c r="G12" s="5" t="s">
        <v>14</v>
      </c>
      <c r="H12" s="6" t="s">
        <v>17</v>
      </c>
      <c r="I12" s="5" t="s">
        <v>14</v>
      </c>
      <c r="J12" s="6"/>
    </row>
    <row r="13" customFormat="false" ht="49.5" hidden="false" customHeight="true" outlineLevel="0" collapsed="false">
      <c r="A13" s="7" t="n">
        <v>9</v>
      </c>
      <c r="B13" s="8" t="s">
        <v>15</v>
      </c>
      <c r="C13" s="8" t="s">
        <v>32</v>
      </c>
      <c r="D13" s="7" t="s">
        <v>14</v>
      </c>
      <c r="E13" s="8" t="s">
        <v>15</v>
      </c>
      <c r="F13" s="8" t="s">
        <v>33</v>
      </c>
      <c r="G13" s="7" t="s">
        <v>14</v>
      </c>
      <c r="H13" s="8" t="s">
        <v>17</v>
      </c>
      <c r="I13" s="7" t="s">
        <v>14</v>
      </c>
      <c r="J13" s="8"/>
    </row>
    <row r="14" customFormat="false" ht="49.5" hidden="false" customHeight="true" outlineLevel="0" collapsed="false">
      <c r="A14" s="7" t="n">
        <v>10</v>
      </c>
      <c r="B14" s="8" t="s">
        <v>15</v>
      </c>
      <c r="C14" s="8" t="s">
        <v>34</v>
      </c>
      <c r="D14" s="7" t="s">
        <v>14</v>
      </c>
      <c r="E14" s="8" t="s">
        <v>15</v>
      </c>
      <c r="F14" s="8" t="s">
        <v>35</v>
      </c>
      <c r="G14" s="7" t="s">
        <v>14</v>
      </c>
      <c r="H14" s="8" t="s">
        <v>17</v>
      </c>
      <c r="I14" s="7" t="s">
        <v>14</v>
      </c>
      <c r="J14" s="8"/>
    </row>
    <row r="15" customFormat="false" ht="49.5" hidden="false" customHeight="true" outlineLevel="0" collapsed="false">
      <c r="A15" s="7" t="n">
        <v>11</v>
      </c>
      <c r="B15" s="8" t="s">
        <v>15</v>
      </c>
      <c r="C15" s="8" t="s">
        <v>36</v>
      </c>
      <c r="D15" s="7" t="s">
        <v>14</v>
      </c>
      <c r="E15" s="8" t="s">
        <v>15</v>
      </c>
      <c r="F15" s="8" t="s">
        <v>37</v>
      </c>
      <c r="G15" s="7" t="s">
        <v>14</v>
      </c>
      <c r="H15" s="8" t="s">
        <v>17</v>
      </c>
      <c r="I15" s="7" t="s">
        <v>14</v>
      </c>
      <c r="J15" s="8"/>
    </row>
    <row r="16" customFormat="false" ht="49.5" hidden="false" customHeight="true" outlineLevel="0" collapsed="false">
      <c r="A16" s="7" t="n">
        <v>12</v>
      </c>
      <c r="B16" s="8" t="s">
        <v>15</v>
      </c>
      <c r="C16" s="8" t="s">
        <v>38</v>
      </c>
      <c r="D16" s="7" t="s">
        <v>14</v>
      </c>
      <c r="E16" s="8" t="s">
        <v>15</v>
      </c>
      <c r="F16" s="8" t="s">
        <v>39</v>
      </c>
      <c r="G16" s="7" t="s">
        <v>14</v>
      </c>
      <c r="H16" s="8" t="s">
        <v>17</v>
      </c>
      <c r="I16" s="7" t="s">
        <v>14</v>
      </c>
      <c r="J16" s="8"/>
    </row>
    <row r="17" customFormat="false" ht="49.5" hidden="false" customHeight="true" outlineLevel="0" collapsed="false">
      <c r="A17" s="7" t="n">
        <v>13</v>
      </c>
      <c r="B17" s="8" t="s">
        <v>15</v>
      </c>
      <c r="C17" s="8" t="s">
        <v>40</v>
      </c>
      <c r="D17" s="7" t="s">
        <v>14</v>
      </c>
      <c r="E17" s="8" t="s">
        <v>15</v>
      </c>
      <c r="F17" s="8" t="s">
        <v>41</v>
      </c>
      <c r="G17" s="7" t="s">
        <v>14</v>
      </c>
      <c r="H17" s="8" t="s">
        <v>17</v>
      </c>
      <c r="I17" s="7" t="s">
        <v>14</v>
      </c>
      <c r="J17" s="8"/>
    </row>
    <row r="18" customFormat="false" ht="49.5" hidden="false" customHeight="true" outlineLevel="0" collapsed="false">
      <c r="A18" s="7" t="n">
        <v>14</v>
      </c>
      <c r="B18" s="8" t="s">
        <v>15</v>
      </c>
      <c r="C18" s="8" t="s">
        <v>42</v>
      </c>
      <c r="D18" s="7" t="s">
        <v>14</v>
      </c>
      <c r="E18" s="8" t="s">
        <v>15</v>
      </c>
      <c r="F18" s="8" t="s">
        <v>43</v>
      </c>
      <c r="G18" s="7" t="s">
        <v>14</v>
      </c>
      <c r="H18" s="8" t="s">
        <v>17</v>
      </c>
      <c r="I18" s="7" t="s">
        <v>14</v>
      </c>
      <c r="J18" s="8"/>
    </row>
    <row r="19" customFormat="false" ht="49.5" hidden="false" customHeight="true" outlineLevel="0" collapsed="false">
      <c r="A19" s="7" t="n">
        <v>15</v>
      </c>
      <c r="B19" s="8" t="s">
        <v>15</v>
      </c>
      <c r="C19" s="8" t="s">
        <v>44</v>
      </c>
      <c r="D19" s="7" t="s">
        <v>14</v>
      </c>
      <c r="E19" s="8" t="s">
        <v>15</v>
      </c>
      <c r="F19" s="8" t="s">
        <v>45</v>
      </c>
      <c r="G19" s="7" t="s">
        <v>14</v>
      </c>
      <c r="H19" s="8" t="s">
        <v>17</v>
      </c>
      <c r="I19" s="7" t="s">
        <v>14</v>
      </c>
      <c r="J19" s="8"/>
    </row>
    <row r="20" customFormat="false" ht="49.5" hidden="false" customHeight="true" outlineLevel="0" collapsed="false">
      <c r="A20" s="7" t="n">
        <v>16</v>
      </c>
      <c r="B20" s="8" t="s">
        <v>15</v>
      </c>
      <c r="C20" s="8" t="s">
        <v>46</v>
      </c>
      <c r="D20" s="7" t="s">
        <v>14</v>
      </c>
      <c r="E20" s="8" t="s">
        <v>15</v>
      </c>
      <c r="F20" s="8" t="s">
        <v>47</v>
      </c>
      <c r="G20" s="7" t="s">
        <v>14</v>
      </c>
      <c r="H20" s="8" t="s">
        <v>17</v>
      </c>
      <c r="I20" s="7" t="s">
        <v>14</v>
      </c>
      <c r="J20" s="8"/>
    </row>
    <row r="21" customFormat="false" ht="49.5" hidden="false" customHeight="true" outlineLevel="0" collapsed="false">
      <c r="A21" s="7" t="n">
        <v>17</v>
      </c>
      <c r="B21" s="8" t="s">
        <v>15</v>
      </c>
      <c r="C21" s="8" t="s">
        <v>48</v>
      </c>
      <c r="D21" s="7" t="s">
        <v>14</v>
      </c>
      <c r="E21" s="8" t="s">
        <v>15</v>
      </c>
      <c r="F21" s="8" t="s">
        <v>49</v>
      </c>
      <c r="G21" s="7" t="s">
        <v>14</v>
      </c>
      <c r="H21" s="8" t="s">
        <v>17</v>
      </c>
      <c r="I21" s="7" t="s">
        <v>14</v>
      </c>
      <c r="J21" s="8"/>
    </row>
    <row r="22" customFormat="false" ht="49.5" hidden="false" customHeight="true" outlineLevel="0" collapsed="false">
      <c r="A22" s="7" t="n">
        <v>18</v>
      </c>
      <c r="B22" s="8" t="s">
        <v>15</v>
      </c>
      <c r="C22" s="8" t="s">
        <v>50</v>
      </c>
      <c r="D22" s="7" t="s">
        <v>14</v>
      </c>
      <c r="E22" s="8" t="s">
        <v>15</v>
      </c>
      <c r="F22" s="8" t="s">
        <v>51</v>
      </c>
      <c r="G22" s="7" t="s">
        <v>14</v>
      </c>
      <c r="H22" s="8" t="s">
        <v>17</v>
      </c>
      <c r="I22" s="7" t="s">
        <v>14</v>
      </c>
      <c r="J22" s="8"/>
    </row>
    <row r="23" customFormat="false" ht="49.5" hidden="false" customHeight="true" outlineLevel="0" collapsed="false">
      <c r="A23" s="7" t="n">
        <v>19</v>
      </c>
      <c r="B23" s="8" t="s">
        <v>15</v>
      </c>
      <c r="C23" s="8" t="s">
        <v>52</v>
      </c>
      <c r="D23" s="7" t="s">
        <v>14</v>
      </c>
      <c r="E23" s="8" t="s">
        <v>15</v>
      </c>
      <c r="F23" s="8" t="s">
        <v>53</v>
      </c>
      <c r="G23" s="7" t="s">
        <v>14</v>
      </c>
      <c r="H23" s="8" t="s">
        <v>17</v>
      </c>
      <c r="I23" s="7" t="s">
        <v>14</v>
      </c>
      <c r="J23" s="8"/>
    </row>
    <row r="24" customFormat="false" ht="49.5" hidden="false" customHeight="true" outlineLevel="0" collapsed="false">
      <c r="A24" s="7" t="n">
        <v>20</v>
      </c>
      <c r="B24" s="8" t="s">
        <v>15</v>
      </c>
      <c r="C24" s="8" t="s">
        <v>54</v>
      </c>
      <c r="D24" s="7" t="s">
        <v>14</v>
      </c>
      <c r="E24" s="8" t="s">
        <v>15</v>
      </c>
      <c r="F24" s="8" t="s">
        <v>55</v>
      </c>
      <c r="G24" s="7" t="s">
        <v>14</v>
      </c>
      <c r="H24" s="8" t="s">
        <v>17</v>
      </c>
      <c r="I24" s="7" t="s">
        <v>14</v>
      </c>
      <c r="J24" s="8"/>
    </row>
    <row r="25" customFormat="false" ht="49.5" hidden="false" customHeight="true" outlineLevel="0" collapsed="false">
      <c r="A25" s="7" t="n">
        <v>21</v>
      </c>
      <c r="B25" s="8" t="s">
        <v>15</v>
      </c>
      <c r="C25" s="8" t="s">
        <v>56</v>
      </c>
      <c r="D25" s="7" t="s">
        <v>14</v>
      </c>
      <c r="E25" s="8" t="s">
        <v>15</v>
      </c>
      <c r="F25" s="8" t="s">
        <v>57</v>
      </c>
      <c r="G25" s="7" t="s">
        <v>14</v>
      </c>
      <c r="H25" s="8" t="s">
        <v>17</v>
      </c>
      <c r="I25" s="7" t="s">
        <v>14</v>
      </c>
      <c r="J25" s="8"/>
    </row>
    <row r="26" customFormat="false" ht="49.5" hidden="false" customHeight="true" outlineLevel="0" collapsed="false">
      <c r="A26" s="7" t="n">
        <v>22</v>
      </c>
      <c r="B26" s="8" t="s">
        <v>15</v>
      </c>
      <c r="C26" s="8" t="s">
        <v>58</v>
      </c>
      <c r="D26" s="7" t="s">
        <v>14</v>
      </c>
      <c r="E26" s="8" t="s">
        <v>15</v>
      </c>
      <c r="F26" s="8" t="s">
        <v>59</v>
      </c>
      <c r="G26" s="7" t="s">
        <v>14</v>
      </c>
      <c r="H26" s="8" t="s">
        <v>17</v>
      </c>
      <c r="I26" s="7" t="s">
        <v>14</v>
      </c>
      <c r="J26" s="8"/>
    </row>
    <row r="27" customFormat="false" ht="49.5" hidden="false" customHeight="true" outlineLevel="0" collapsed="false">
      <c r="A27" s="7" t="n">
        <v>23</v>
      </c>
      <c r="B27" s="8" t="s">
        <v>15</v>
      </c>
      <c r="C27" s="8" t="s">
        <v>60</v>
      </c>
      <c r="D27" s="7" t="s">
        <v>14</v>
      </c>
      <c r="E27" s="8" t="s">
        <v>15</v>
      </c>
      <c r="F27" s="8" t="s">
        <v>61</v>
      </c>
      <c r="G27" s="7" t="s">
        <v>14</v>
      </c>
      <c r="H27" s="8" t="s">
        <v>17</v>
      </c>
      <c r="I27" s="7" t="s">
        <v>14</v>
      </c>
      <c r="J27" s="8"/>
    </row>
    <row r="28" customFormat="false" ht="49.5" hidden="false" customHeight="true" outlineLevel="0" collapsed="false">
      <c r="A28" s="7" t="n">
        <v>24</v>
      </c>
      <c r="B28" s="8" t="s">
        <v>15</v>
      </c>
      <c r="C28" s="8" t="s">
        <v>62</v>
      </c>
      <c r="D28" s="7" t="s">
        <v>14</v>
      </c>
      <c r="E28" s="8" t="s">
        <v>15</v>
      </c>
      <c r="F28" s="8" t="s">
        <v>63</v>
      </c>
      <c r="G28" s="7" t="s">
        <v>14</v>
      </c>
      <c r="H28" s="8" t="s">
        <v>17</v>
      </c>
      <c r="I28" s="7" t="s">
        <v>14</v>
      </c>
      <c r="J28" s="8"/>
    </row>
    <row r="29" customFormat="false" ht="49.5" hidden="false" customHeight="true" outlineLevel="0" collapsed="false">
      <c r="A29" s="7" t="n">
        <v>25</v>
      </c>
      <c r="B29" s="8" t="s">
        <v>15</v>
      </c>
      <c r="C29" s="8" t="s">
        <v>64</v>
      </c>
      <c r="D29" s="7" t="s">
        <v>14</v>
      </c>
      <c r="E29" s="8" t="s">
        <v>15</v>
      </c>
      <c r="F29" s="8" t="s">
        <v>65</v>
      </c>
      <c r="G29" s="7" t="s">
        <v>14</v>
      </c>
      <c r="H29" s="8" t="s">
        <v>17</v>
      </c>
      <c r="I29" s="7" t="s">
        <v>14</v>
      </c>
      <c r="J29" s="8"/>
    </row>
    <row r="30" customFormat="false" ht="49.5" hidden="false" customHeight="true" outlineLevel="0" collapsed="false">
      <c r="A30" s="7" t="n">
        <v>26</v>
      </c>
      <c r="B30" s="8" t="s">
        <v>15</v>
      </c>
      <c r="C30" s="8" t="s">
        <v>66</v>
      </c>
      <c r="D30" s="7" t="s">
        <v>14</v>
      </c>
      <c r="E30" s="8" t="s">
        <v>15</v>
      </c>
      <c r="F30" s="8" t="s">
        <v>67</v>
      </c>
      <c r="G30" s="7" t="s">
        <v>14</v>
      </c>
      <c r="H30" s="8" t="s">
        <v>17</v>
      </c>
      <c r="I30" s="7" t="s">
        <v>14</v>
      </c>
      <c r="J30" s="8"/>
    </row>
    <row r="31" customFormat="false" ht="49.5" hidden="false" customHeight="true" outlineLevel="0" collapsed="false">
      <c r="A31" s="7" t="n">
        <v>27</v>
      </c>
      <c r="B31" s="8" t="s">
        <v>15</v>
      </c>
      <c r="C31" s="8" t="s">
        <v>68</v>
      </c>
      <c r="D31" s="7" t="s">
        <v>14</v>
      </c>
      <c r="E31" s="8" t="s">
        <v>15</v>
      </c>
      <c r="F31" s="8" t="s">
        <v>69</v>
      </c>
      <c r="G31" s="7" t="s">
        <v>14</v>
      </c>
      <c r="H31" s="8" t="s">
        <v>17</v>
      </c>
      <c r="I31" s="7" t="s">
        <v>14</v>
      </c>
      <c r="J31" s="8"/>
    </row>
    <row r="32" customFormat="false" ht="49.5" hidden="false" customHeight="true" outlineLevel="0" collapsed="false">
      <c r="A32" s="9" t="n">
        <v>28</v>
      </c>
      <c r="B32" s="10" t="s">
        <v>70</v>
      </c>
      <c r="C32" s="10" t="s">
        <v>71</v>
      </c>
      <c r="D32" s="9" t="s">
        <v>14</v>
      </c>
      <c r="E32" s="10" t="s">
        <v>70</v>
      </c>
      <c r="F32" s="10" t="s">
        <v>72</v>
      </c>
      <c r="G32" s="9" t="s">
        <v>14</v>
      </c>
      <c r="H32" s="10" t="s">
        <v>73</v>
      </c>
      <c r="I32" s="9" t="s">
        <v>14</v>
      </c>
      <c r="J32" s="10"/>
    </row>
    <row r="33" customFormat="false" ht="49.5" hidden="false" customHeight="true" outlineLevel="0" collapsed="false">
      <c r="A33" s="9" t="n">
        <v>29</v>
      </c>
      <c r="B33" s="10" t="s">
        <v>70</v>
      </c>
      <c r="C33" s="10" t="s">
        <v>74</v>
      </c>
      <c r="D33" s="9" t="s">
        <v>14</v>
      </c>
      <c r="E33" s="10" t="s">
        <v>70</v>
      </c>
      <c r="F33" s="10" t="s">
        <v>75</v>
      </c>
      <c r="G33" s="9" t="s">
        <v>14</v>
      </c>
      <c r="H33" s="10" t="s">
        <v>73</v>
      </c>
      <c r="I33" s="9" t="s">
        <v>14</v>
      </c>
      <c r="J33" s="10"/>
    </row>
    <row r="34" customFormat="false" ht="49.5" hidden="false" customHeight="true" outlineLevel="0" collapsed="false">
      <c r="A34" s="9" t="n">
        <v>30</v>
      </c>
      <c r="B34" s="10" t="s">
        <v>70</v>
      </c>
      <c r="C34" s="10" t="s">
        <v>76</v>
      </c>
      <c r="D34" s="9" t="s">
        <v>14</v>
      </c>
      <c r="E34" s="10" t="s">
        <v>70</v>
      </c>
      <c r="F34" s="10" t="s">
        <v>77</v>
      </c>
      <c r="G34" s="9" t="s">
        <v>14</v>
      </c>
      <c r="H34" s="10" t="s">
        <v>73</v>
      </c>
      <c r="I34" s="9" t="s">
        <v>14</v>
      </c>
      <c r="J34" s="10"/>
    </row>
    <row r="35" customFormat="false" ht="49.5" hidden="false" customHeight="true" outlineLevel="0" collapsed="false">
      <c r="A35" s="9" t="n">
        <v>31</v>
      </c>
      <c r="B35" s="10" t="s">
        <v>70</v>
      </c>
      <c r="C35" s="10" t="s">
        <v>78</v>
      </c>
      <c r="D35" s="9" t="s">
        <v>14</v>
      </c>
      <c r="E35" s="10" t="s">
        <v>70</v>
      </c>
      <c r="F35" s="10" t="s">
        <v>79</v>
      </c>
      <c r="G35" s="9" t="s">
        <v>14</v>
      </c>
      <c r="H35" s="10" t="s">
        <v>73</v>
      </c>
      <c r="I35" s="9" t="s">
        <v>14</v>
      </c>
      <c r="J35" s="10"/>
    </row>
    <row r="36" customFormat="false" ht="49.5" hidden="false" customHeight="true" outlineLevel="0" collapsed="false">
      <c r="A36" s="9" t="n">
        <v>32</v>
      </c>
      <c r="B36" s="10" t="s">
        <v>70</v>
      </c>
      <c r="C36" s="10" t="s">
        <v>80</v>
      </c>
      <c r="D36" s="9" t="s">
        <v>14</v>
      </c>
      <c r="E36" s="10" t="s">
        <v>70</v>
      </c>
      <c r="F36" s="10" t="s">
        <v>81</v>
      </c>
      <c r="G36" s="9" t="s">
        <v>14</v>
      </c>
      <c r="H36" s="10" t="s">
        <v>73</v>
      </c>
      <c r="I36" s="9" t="s">
        <v>14</v>
      </c>
      <c r="J36" s="10"/>
    </row>
    <row r="37" customFormat="false" ht="49.5" hidden="false" customHeight="true" outlineLevel="0" collapsed="false">
      <c r="A37" s="9" t="n">
        <v>33</v>
      </c>
      <c r="B37" s="10" t="s">
        <v>70</v>
      </c>
      <c r="C37" s="10" t="s">
        <v>82</v>
      </c>
      <c r="D37" s="9" t="s">
        <v>14</v>
      </c>
      <c r="E37" s="10" t="s">
        <v>70</v>
      </c>
      <c r="F37" s="10" t="s">
        <v>83</v>
      </c>
      <c r="G37" s="9" t="s">
        <v>14</v>
      </c>
      <c r="H37" s="10" t="s">
        <v>73</v>
      </c>
      <c r="I37" s="9" t="s">
        <v>14</v>
      </c>
      <c r="J37" s="10"/>
    </row>
    <row r="38" customFormat="false" ht="49.5" hidden="false" customHeight="true" outlineLevel="0" collapsed="false">
      <c r="A38" s="9" t="n">
        <v>34</v>
      </c>
      <c r="B38" s="10" t="s">
        <v>70</v>
      </c>
      <c r="C38" s="10" t="s">
        <v>84</v>
      </c>
      <c r="D38" s="9" t="s">
        <v>14</v>
      </c>
      <c r="E38" s="10" t="s">
        <v>70</v>
      </c>
      <c r="F38" s="10" t="s">
        <v>85</v>
      </c>
      <c r="G38" s="9" t="s">
        <v>14</v>
      </c>
      <c r="H38" s="10" t="s">
        <v>73</v>
      </c>
      <c r="I38" s="9" t="s">
        <v>14</v>
      </c>
      <c r="J38" s="10"/>
    </row>
    <row r="39" customFormat="false" ht="49.5" hidden="false" customHeight="true" outlineLevel="0" collapsed="false">
      <c r="A39" s="9" t="n">
        <v>35</v>
      </c>
      <c r="B39" s="10" t="s">
        <v>70</v>
      </c>
      <c r="C39" s="10" t="s">
        <v>86</v>
      </c>
      <c r="D39" s="9" t="s">
        <v>14</v>
      </c>
      <c r="E39" s="10" t="s">
        <v>70</v>
      </c>
      <c r="F39" s="10" t="s">
        <v>87</v>
      </c>
      <c r="G39" s="9" t="s">
        <v>14</v>
      </c>
      <c r="H39" s="10" t="s">
        <v>73</v>
      </c>
      <c r="I39" s="9" t="s">
        <v>14</v>
      </c>
      <c r="J39" s="10"/>
    </row>
    <row r="40" customFormat="false" ht="49.5" hidden="false" customHeight="true" outlineLevel="0" collapsed="false">
      <c r="A40" s="9" t="n">
        <v>36</v>
      </c>
      <c r="B40" s="10" t="s">
        <v>70</v>
      </c>
      <c r="C40" s="10" t="s">
        <v>88</v>
      </c>
      <c r="D40" s="9" t="s">
        <v>14</v>
      </c>
      <c r="E40" s="10" t="s">
        <v>70</v>
      </c>
      <c r="F40" s="10" t="s">
        <v>89</v>
      </c>
      <c r="G40" s="9" t="s">
        <v>14</v>
      </c>
      <c r="H40" s="10" t="s">
        <v>73</v>
      </c>
      <c r="I40" s="9" t="s">
        <v>14</v>
      </c>
      <c r="J40" s="10"/>
    </row>
    <row r="41" customFormat="false" ht="49.5" hidden="false" customHeight="true" outlineLevel="0" collapsed="false">
      <c r="A41" s="9" t="n">
        <v>37</v>
      </c>
      <c r="B41" s="10" t="s">
        <v>70</v>
      </c>
      <c r="C41" s="10" t="s">
        <v>90</v>
      </c>
      <c r="D41" s="9" t="s">
        <v>14</v>
      </c>
      <c r="E41" s="10" t="s">
        <v>70</v>
      </c>
      <c r="F41" s="10" t="s">
        <v>91</v>
      </c>
      <c r="G41" s="9" t="s">
        <v>14</v>
      </c>
      <c r="H41" s="10" t="s">
        <v>73</v>
      </c>
      <c r="I41" s="9" t="s">
        <v>14</v>
      </c>
      <c r="J41" s="10"/>
    </row>
    <row r="42" customFormat="false" ht="49.5" hidden="false" customHeight="true" outlineLevel="0" collapsed="false">
      <c r="A42" s="9" t="n">
        <v>38</v>
      </c>
      <c r="B42" s="10" t="s">
        <v>70</v>
      </c>
      <c r="C42" s="10" t="s">
        <v>92</v>
      </c>
      <c r="D42" s="9" t="s">
        <v>14</v>
      </c>
      <c r="E42" s="10" t="s">
        <v>70</v>
      </c>
      <c r="F42" s="10" t="s">
        <v>93</v>
      </c>
      <c r="G42" s="9" t="s">
        <v>14</v>
      </c>
      <c r="H42" s="10" t="s">
        <v>73</v>
      </c>
      <c r="I42" s="9" t="s">
        <v>14</v>
      </c>
      <c r="J42" s="10"/>
    </row>
    <row r="43" customFormat="false" ht="49.5" hidden="false" customHeight="true" outlineLevel="0" collapsed="false">
      <c r="A43" s="9" t="n">
        <v>39</v>
      </c>
      <c r="B43" s="10" t="s">
        <v>70</v>
      </c>
      <c r="C43" s="10" t="s">
        <v>94</v>
      </c>
      <c r="D43" s="9" t="s">
        <v>14</v>
      </c>
      <c r="E43" s="10" t="s">
        <v>70</v>
      </c>
      <c r="F43" s="10" t="s">
        <v>95</v>
      </c>
      <c r="G43" s="9" t="s">
        <v>14</v>
      </c>
      <c r="H43" s="10" t="s">
        <v>73</v>
      </c>
      <c r="I43" s="9" t="s">
        <v>14</v>
      </c>
      <c r="J43" s="10"/>
    </row>
    <row r="44" customFormat="false" ht="49.5" hidden="false" customHeight="true" outlineLevel="0" collapsed="false">
      <c r="A44" s="9" t="n">
        <v>40</v>
      </c>
      <c r="B44" s="10" t="s">
        <v>70</v>
      </c>
      <c r="C44" s="10" t="s">
        <v>96</v>
      </c>
      <c r="D44" s="9" t="s">
        <v>14</v>
      </c>
      <c r="E44" s="10" t="s">
        <v>70</v>
      </c>
      <c r="F44" s="10" t="s">
        <v>97</v>
      </c>
      <c r="G44" s="9" t="s">
        <v>14</v>
      </c>
      <c r="H44" s="10" t="s">
        <v>73</v>
      </c>
      <c r="I44" s="9" t="s">
        <v>14</v>
      </c>
      <c r="J44" s="10"/>
    </row>
    <row r="45" customFormat="false" ht="49.5" hidden="false" customHeight="true" outlineLevel="0" collapsed="false">
      <c r="A45" s="9" t="n">
        <v>41</v>
      </c>
      <c r="B45" s="10" t="s">
        <v>70</v>
      </c>
      <c r="C45" s="10" t="s">
        <v>98</v>
      </c>
      <c r="D45" s="9" t="s">
        <v>14</v>
      </c>
      <c r="E45" s="10" t="s">
        <v>70</v>
      </c>
      <c r="F45" s="10" t="s">
        <v>99</v>
      </c>
      <c r="G45" s="9" t="s">
        <v>14</v>
      </c>
      <c r="H45" s="10" t="s">
        <v>73</v>
      </c>
      <c r="I45" s="9" t="s">
        <v>14</v>
      </c>
      <c r="J45" s="10"/>
    </row>
    <row r="46" customFormat="false" ht="49.5" hidden="false" customHeight="true" outlineLevel="0" collapsed="false">
      <c r="A46" s="9" t="n">
        <v>42</v>
      </c>
      <c r="B46" s="10" t="s">
        <v>70</v>
      </c>
      <c r="C46" s="10" t="s">
        <v>100</v>
      </c>
      <c r="D46" s="9" t="s">
        <v>14</v>
      </c>
      <c r="E46" s="10" t="s">
        <v>70</v>
      </c>
      <c r="F46" s="10" t="s">
        <v>101</v>
      </c>
      <c r="G46" s="9" t="s">
        <v>14</v>
      </c>
      <c r="H46" s="10" t="s">
        <v>73</v>
      </c>
      <c r="I46" s="9" t="s">
        <v>14</v>
      </c>
      <c r="J46" s="10"/>
    </row>
    <row r="47" customFormat="false" ht="49.5" hidden="false" customHeight="true" outlineLevel="0" collapsed="false">
      <c r="A47" s="9" t="n">
        <v>43</v>
      </c>
      <c r="B47" s="10" t="s">
        <v>70</v>
      </c>
      <c r="C47" s="10" t="s">
        <v>102</v>
      </c>
      <c r="D47" s="9" t="s">
        <v>14</v>
      </c>
      <c r="E47" s="10" t="s">
        <v>70</v>
      </c>
      <c r="F47" s="10" t="s">
        <v>103</v>
      </c>
      <c r="G47" s="9" t="s">
        <v>14</v>
      </c>
      <c r="H47" s="10" t="s">
        <v>73</v>
      </c>
      <c r="I47" s="9" t="s">
        <v>14</v>
      </c>
      <c r="J47" s="10"/>
    </row>
    <row r="48" customFormat="false" ht="49.5" hidden="false" customHeight="true" outlineLevel="0" collapsed="false">
      <c r="A48" s="11" t="n">
        <v>44</v>
      </c>
      <c r="B48" s="12" t="s">
        <v>104</v>
      </c>
      <c r="C48" s="12" t="s">
        <v>105</v>
      </c>
      <c r="D48" s="11" t="s">
        <v>14</v>
      </c>
      <c r="E48" s="12" t="s">
        <v>104</v>
      </c>
      <c r="F48" s="12" t="s">
        <v>106</v>
      </c>
      <c r="G48" s="11" t="s">
        <v>14</v>
      </c>
      <c r="H48" s="12" t="s">
        <v>107</v>
      </c>
      <c r="I48" s="11" t="s">
        <v>14</v>
      </c>
      <c r="J48" s="12"/>
    </row>
    <row r="49" customFormat="false" ht="49.5" hidden="false" customHeight="true" outlineLevel="0" collapsed="false">
      <c r="A49" s="11" t="n">
        <v>45</v>
      </c>
      <c r="B49" s="12" t="s">
        <v>104</v>
      </c>
      <c r="C49" s="12" t="s">
        <v>108</v>
      </c>
      <c r="D49" s="11" t="s">
        <v>14</v>
      </c>
      <c r="E49" s="12" t="s">
        <v>104</v>
      </c>
      <c r="F49" s="12" t="s">
        <v>109</v>
      </c>
      <c r="G49" s="11" t="s">
        <v>14</v>
      </c>
      <c r="H49" s="12" t="s">
        <v>107</v>
      </c>
      <c r="I49" s="11" t="s">
        <v>14</v>
      </c>
      <c r="J49" s="12"/>
    </row>
    <row r="50" customFormat="false" ht="49.5" hidden="false" customHeight="true" outlineLevel="0" collapsed="false">
      <c r="A50" s="11" t="n">
        <v>46</v>
      </c>
      <c r="B50" s="12" t="s">
        <v>104</v>
      </c>
      <c r="C50" s="12" t="s">
        <v>110</v>
      </c>
      <c r="D50" s="11" t="s">
        <v>14</v>
      </c>
      <c r="E50" s="12" t="s">
        <v>104</v>
      </c>
      <c r="F50" s="12" t="s">
        <v>111</v>
      </c>
      <c r="G50" s="11" t="s">
        <v>14</v>
      </c>
      <c r="H50" s="12" t="s">
        <v>107</v>
      </c>
      <c r="I50" s="11" t="s">
        <v>14</v>
      </c>
      <c r="J50" s="12"/>
    </row>
    <row r="51" customFormat="false" ht="49.5" hidden="false" customHeight="true" outlineLevel="0" collapsed="false">
      <c r="A51" s="13" t="n">
        <v>47</v>
      </c>
      <c r="B51" s="14" t="s">
        <v>112</v>
      </c>
      <c r="C51" s="14" t="s">
        <v>113</v>
      </c>
      <c r="D51" s="13" t="s">
        <v>14</v>
      </c>
      <c r="E51" s="14" t="s">
        <v>112</v>
      </c>
      <c r="F51" s="14" t="s">
        <v>114</v>
      </c>
      <c r="G51" s="13" t="s">
        <v>14</v>
      </c>
      <c r="H51" s="14" t="s">
        <v>115</v>
      </c>
      <c r="I51" s="13" t="s">
        <v>14</v>
      </c>
      <c r="J51" s="14"/>
    </row>
    <row r="52" customFormat="false" ht="49.5" hidden="false" customHeight="true" outlineLevel="0" collapsed="false">
      <c r="A52" s="13" t="n">
        <v>48</v>
      </c>
      <c r="B52" s="14" t="s">
        <v>112</v>
      </c>
      <c r="C52" s="14" t="s">
        <v>116</v>
      </c>
      <c r="D52" s="13" t="s">
        <v>14</v>
      </c>
      <c r="E52" s="14" t="s">
        <v>112</v>
      </c>
      <c r="F52" s="14" t="s">
        <v>117</v>
      </c>
      <c r="G52" s="13" t="s">
        <v>14</v>
      </c>
      <c r="H52" s="14" t="s">
        <v>115</v>
      </c>
      <c r="I52" s="13" t="s">
        <v>14</v>
      </c>
      <c r="J52" s="14"/>
    </row>
    <row r="53" customFormat="false" ht="49.5" hidden="false" customHeight="true" outlineLevel="0" collapsed="false">
      <c r="A53" s="13" t="n">
        <v>49</v>
      </c>
      <c r="B53" s="14" t="s">
        <v>112</v>
      </c>
      <c r="C53" s="14" t="s">
        <v>118</v>
      </c>
      <c r="D53" s="13" t="s">
        <v>14</v>
      </c>
      <c r="E53" s="14" t="s">
        <v>112</v>
      </c>
      <c r="F53" s="14" t="s">
        <v>119</v>
      </c>
      <c r="G53" s="13" t="s">
        <v>14</v>
      </c>
      <c r="H53" s="14" t="s">
        <v>115</v>
      </c>
      <c r="I53" s="13" t="s">
        <v>14</v>
      </c>
      <c r="J53" s="14"/>
    </row>
    <row r="54" customFormat="false" ht="49.5" hidden="false" customHeight="true" outlineLevel="0" collapsed="false">
      <c r="A54" s="13" t="n">
        <v>50</v>
      </c>
      <c r="B54" s="14" t="s">
        <v>112</v>
      </c>
      <c r="C54" s="14" t="s">
        <v>120</v>
      </c>
      <c r="D54" s="13" t="s">
        <v>14</v>
      </c>
      <c r="E54" s="14" t="s">
        <v>112</v>
      </c>
      <c r="F54" s="14" t="s">
        <v>121</v>
      </c>
      <c r="G54" s="13" t="s">
        <v>14</v>
      </c>
      <c r="H54" s="14" t="s">
        <v>115</v>
      </c>
      <c r="I54" s="13" t="s">
        <v>14</v>
      </c>
      <c r="J54" s="14"/>
    </row>
    <row r="55" customFormat="false" ht="49.5" hidden="false" customHeight="true" outlineLevel="0" collapsed="false">
      <c r="A55" s="15" t="n">
        <v>51</v>
      </c>
      <c r="B55" s="16" t="s">
        <v>122</v>
      </c>
      <c r="C55" s="16" t="s">
        <v>123</v>
      </c>
      <c r="D55" s="15" t="s">
        <v>14</v>
      </c>
      <c r="E55" s="16" t="s">
        <v>122</v>
      </c>
      <c r="F55" s="16" t="s">
        <v>124</v>
      </c>
      <c r="G55" s="15" t="s">
        <v>14</v>
      </c>
      <c r="H55" s="16" t="s">
        <v>125</v>
      </c>
      <c r="I55" s="15" t="s">
        <v>14</v>
      </c>
      <c r="J55" s="16"/>
    </row>
    <row r="56" customFormat="false" ht="49.5" hidden="false" customHeight="true" outlineLevel="0" collapsed="false">
      <c r="A56" s="15" t="n">
        <v>52</v>
      </c>
      <c r="B56" s="16" t="s">
        <v>122</v>
      </c>
      <c r="C56" s="16" t="s">
        <v>126</v>
      </c>
      <c r="D56" s="15" t="s">
        <v>14</v>
      </c>
      <c r="E56" s="16" t="s">
        <v>122</v>
      </c>
      <c r="F56" s="16" t="s">
        <v>127</v>
      </c>
      <c r="G56" s="15" t="s">
        <v>14</v>
      </c>
      <c r="H56" s="16" t="s">
        <v>125</v>
      </c>
      <c r="I56" s="15" t="s">
        <v>14</v>
      </c>
      <c r="J56" s="16"/>
    </row>
    <row r="57" customFormat="false" ht="49.5" hidden="false" customHeight="true" outlineLevel="0" collapsed="false">
      <c r="A57" s="15" t="n">
        <v>53</v>
      </c>
      <c r="B57" s="16" t="s">
        <v>122</v>
      </c>
      <c r="C57" s="16" t="s">
        <v>128</v>
      </c>
      <c r="D57" s="15" t="s">
        <v>14</v>
      </c>
      <c r="E57" s="16" t="s">
        <v>122</v>
      </c>
      <c r="F57" s="16" t="s">
        <v>129</v>
      </c>
      <c r="G57" s="15" t="s">
        <v>14</v>
      </c>
      <c r="H57" s="16" t="s">
        <v>125</v>
      </c>
      <c r="I57" s="15" t="s">
        <v>14</v>
      </c>
      <c r="J57" s="16"/>
    </row>
    <row r="58" customFormat="false" ht="49.5" hidden="false" customHeight="true" outlineLevel="0" collapsed="false">
      <c r="A58" s="17" t="n">
        <v>54</v>
      </c>
      <c r="B58" s="18" t="s">
        <v>130</v>
      </c>
      <c r="C58" s="18" t="s">
        <v>131</v>
      </c>
      <c r="D58" s="17" t="s">
        <v>14</v>
      </c>
      <c r="E58" s="18" t="s">
        <v>130</v>
      </c>
      <c r="F58" s="18" t="s">
        <v>132</v>
      </c>
      <c r="G58" s="17" t="s">
        <v>14</v>
      </c>
      <c r="H58" s="18" t="s">
        <v>133</v>
      </c>
      <c r="I58" s="17" t="s">
        <v>14</v>
      </c>
      <c r="J58" s="18"/>
    </row>
    <row r="59" customFormat="false" ht="49.5" hidden="false" customHeight="true" outlineLevel="0" collapsed="false">
      <c r="A59" s="17" t="n">
        <v>55</v>
      </c>
      <c r="B59" s="18" t="s">
        <v>130</v>
      </c>
      <c r="C59" s="18" t="s">
        <v>134</v>
      </c>
      <c r="D59" s="17" t="s">
        <v>14</v>
      </c>
      <c r="E59" s="18" t="s">
        <v>130</v>
      </c>
      <c r="F59" s="18" t="s">
        <v>135</v>
      </c>
      <c r="G59" s="17" t="s">
        <v>14</v>
      </c>
      <c r="H59" s="18" t="s">
        <v>133</v>
      </c>
      <c r="I59" s="17" t="s">
        <v>14</v>
      </c>
      <c r="J59" s="18"/>
    </row>
    <row r="60" customFormat="false" ht="49.5" hidden="false" customHeight="true" outlineLevel="0" collapsed="false">
      <c r="A60" s="17" t="n">
        <v>56</v>
      </c>
      <c r="B60" s="18" t="s">
        <v>130</v>
      </c>
      <c r="C60" s="18" t="s">
        <v>136</v>
      </c>
      <c r="D60" s="17" t="s">
        <v>14</v>
      </c>
      <c r="E60" s="18" t="s">
        <v>130</v>
      </c>
      <c r="F60" s="18" t="s">
        <v>137</v>
      </c>
      <c r="G60" s="17" t="s">
        <v>14</v>
      </c>
      <c r="H60" s="18" t="s">
        <v>133</v>
      </c>
      <c r="I60" s="17" t="s">
        <v>14</v>
      </c>
      <c r="J60" s="18"/>
    </row>
    <row r="61" customFormat="false" ht="49.5" hidden="false" customHeight="true" outlineLevel="0" collapsed="false">
      <c r="A61" s="17" t="n">
        <v>57</v>
      </c>
      <c r="B61" s="18" t="s">
        <v>130</v>
      </c>
      <c r="C61" s="18" t="s">
        <v>138</v>
      </c>
      <c r="D61" s="17" t="s">
        <v>14</v>
      </c>
      <c r="E61" s="18" t="s">
        <v>130</v>
      </c>
      <c r="F61" s="18" t="s">
        <v>139</v>
      </c>
      <c r="G61" s="17" t="s">
        <v>14</v>
      </c>
      <c r="H61" s="18" t="s">
        <v>133</v>
      </c>
      <c r="I61" s="17" t="s">
        <v>14</v>
      </c>
      <c r="J61" s="18"/>
    </row>
    <row r="62" customFormat="false" ht="49.5" hidden="false" customHeight="true" outlineLevel="0" collapsed="false">
      <c r="A62" s="17" t="n">
        <v>58</v>
      </c>
      <c r="B62" s="18" t="s">
        <v>130</v>
      </c>
      <c r="C62" s="18" t="s">
        <v>140</v>
      </c>
      <c r="D62" s="17" t="s">
        <v>14</v>
      </c>
      <c r="E62" s="18" t="s">
        <v>130</v>
      </c>
      <c r="F62" s="18" t="s">
        <v>141</v>
      </c>
      <c r="G62" s="17" t="s">
        <v>14</v>
      </c>
      <c r="H62" s="18" t="s">
        <v>133</v>
      </c>
      <c r="I62" s="17" t="s">
        <v>14</v>
      </c>
      <c r="J62" s="18"/>
    </row>
    <row r="63" customFormat="false" ht="49.5" hidden="false" customHeight="true" outlineLevel="0" collapsed="false">
      <c r="A63" s="17" t="n">
        <v>59</v>
      </c>
      <c r="B63" s="18" t="s">
        <v>130</v>
      </c>
      <c r="C63" s="18" t="s">
        <v>142</v>
      </c>
      <c r="D63" s="17" t="s">
        <v>14</v>
      </c>
      <c r="E63" s="18" t="s">
        <v>130</v>
      </c>
      <c r="F63" s="18" t="s">
        <v>143</v>
      </c>
      <c r="G63" s="17" t="s">
        <v>14</v>
      </c>
      <c r="H63" s="18" t="s">
        <v>133</v>
      </c>
      <c r="I63" s="17" t="s">
        <v>14</v>
      </c>
      <c r="J63" s="18"/>
    </row>
    <row r="64" customFormat="false" ht="49.5" hidden="false" customHeight="true" outlineLevel="0" collapsed="false">
      <c r="A64" s="17" t="n">
        <v>60</v>
      </c>
      <c r="B64" s="18" t="s">
        <v>130</v>
      </c>
      <c r="C64" s="18" t="s">
        <v>144</v>
      </c>
      <c r="D64" s="17" t="s">
        <v>14</v>
      </c>
      <c r="E64" s="18" t="s">
        <v>130</v>
      </c>
      <c r="F64" s="18" t="s">
        <v>145</v>
      </c>
      <c r="G64" s="17" t="s">
        <v>14</v>
      </c>
      <c r="H64" s="18" t="s">
        <v>133</v>
      </c>
      <c r="I64" s="17" t="s">
        <v>14</v>
      </c>
      <c r="J64" s="18"/>
    </row>
    <row r="65" customFormat="false" ht="49.5" hidden="false" customHeight="true" outlineLevel="0" collapsed="false">
      <c r="A65" s="19" t="n">
        <v>61</v>
      </c>
      <c r="B65" s="20" t="s">
        <v>146</v>
      </c>
      <c r="C65" s="20" t="s">
        <v>147</v>
      </c>
      <c r="D65" s="19" t="s">
        <v>14</v>
      </c>
      <c r="E65" s="20" t="s">
        <v>146</v>
      </c>
      <c r="F65" s="20" t="s">
        <v>148</v>
      </c>
      <c r="G65" s="19" t="s">
        <v>14</v>
      </c>
      <c r="H65" s="20" t="s">
        <v>149</v>
      </c>
      <c r="I65" s="19" t="s">
        <v>14</v>
      </c>
      <c r="J65" s="20"/>
    </row>
    <row r="66" customFormat="false" ht="49.5" hidden="false" customHeight="true" outlineLevel="0" collapsed="false">
      <c r="A66" s="19" t="n">
        <v>62</v>
      </c>
      <c r="B66" s="20" t="s">
        <v>146</v>
      </c>
      <c r="C66" s="20" t="s">
        <v>150</v>
      </c>
      <c r="D66" s="19" t="s">
        <v>14</v>
      </c>
      <c r="E66" s="20" t="s">
        <v>146</v>
      </c>
      <c r="F66" s="20" t="s">
        <v>151</v>
      </c>
      <c r="G66" s="19" t="s">
        <v>14</v>
      </c>
      <c r="H66" s="20" t="s">
        <v>149</v>
      </c>
      <c r="I66" s="19" t="s">
        <v>14</v>
      </c>
      <c r="J66" s="20"/>
    </row>
    <row r="67" customFormat="false" ht="49.5" hidden="false" customHeight="true" outlineLevel="0" collapsed="false">
      <c r="A67" s="19" t="n">
        <v>63</v>
      </c>
      <c r="B67" s="20" t="s">
        <v>146</v>
      </c>
      <c r="C67" s="20" t="s">
        <v>152</v>
      </c>
      <c r="D67" s="19" t="s">
        <v>14</v>
      </c>
      <c r="E67" s="20" t="s">
        <v>146</v>
      </c>
      <c r="F67" s="20" t="s">
        <v>153</v>
      </c>
      <c r="G67" s="19" t="s">
        <v>14</v>
      </c>
      <c r="H67" s="20" t="s">
        <v>149</v>
      </c>
      <c r="I67" s="19" t="s">
        <v>14</v>
      </c>
      <c r="J67" s="20"/>
    </row>
    <row r="68" customFormat="false" ht="49.5" hidden="false" customHeight="true" outlineLevel="0" collapsed="false">
      <c r="A68" s="19" t="n">
        <v>64</v>
      </c>
      <c r="B68" s="20" t="s">
        <v>146</v>
      </c>
      <c r="C68" s="20" t="s">
        <v>154</v>
      </c>
      <c r="D68" s="19" t="s">
        <v>14</v>
      </c>
      <c r="E68" s="20" t="s">
        <v>146</v>
      </c>
      <c r="F68" s="20" t="s">
        <v>155</v>
      </c>
      <c r="G68" s="19" t="s">
        <v>14</v>
      </c>
      <c r="H68" s="20" t="s">
        <v>149</v>
      </c>
      <c r="I68" s="19" t="s">
        <v>14</v>
      </c>
      <c r="J68" s="20"/>
    </row>
    <row r="69" customFormat="false" ht="49.5" hidden="false" customHeight="true" outlineLevel="0" collapsed="false">
      <c r="A69" s="19" t="n">
        <v>65</v>
      </c>
      <c r="B69" s="20" t="s">
        <v>146</v>
      </c>
      <c r="C69" s="20" t="s">
        <v>156</v>
      </c>
      <c r="D69" s="19" t="s">
        <v>14</v>
      </c>
      <c r="E69" s="20" t="s">
        <v>146</v>
      </c>
      <c r="F69" s="20" t="s">
        <v>157</v>
      </c>
      <c r="G69" s="19" t="s">
        <v>14</v>
      </c>
      <c r="H69" s="20" t="s">
        <v>149</v>
      </c>
      <c r="I69" s="19" t="s">
        <v>14</v>
      </c>
      <c r="J69" s="20"/>
    </row>
    <row r="70" customFormat="false" ht="49.5" hidden="false" customHeight="true" outlineLevel="0" collapsed="false">
      <c r="A70" s="19" t="n">
        <v>66</v>
      </c>
      <c r="B70" s="20" t="s">
        <v>146</v>
      </c>
      <c r="C70" s="20" t="s">
        <v>158</v>
      </c>
      <c r="D70" s="19" t="s">
        <v>14</v>
      </c>
      <c r="E70" s="20" t="s">
        <v>146</v>
      </c>
      <c r="F70" s="20" t="s">
        <v>159</v>
      </c>
      <c r="G70" s="19" t="s">
        <v>14</v>
      </c>
      <c r="H70" s="20" t="s">
        <v>149</v>
      </c>
      <c r="I70" s="19" t="s">
        <v>14</v>
      </c>
      <c r="J70" s="20"/>
    </row>
    <row r="71" customFormat="false" ht="49.5" hidden="false" customHeight="true" outlineLevel="0" collapsed="false">
      <c r="A71" s="19" t="n">
        <v>67</v>
      </c>
      <c r="B71" s="20" t="s">
        <v>146</v>
      </c>
      <c r="C71" s="20" t="s">
        <v>160</v>
      </c>
      <c r="D71" s="19" t="s">
        <v>14</v>
      </c>
      <c r="E71" s="20" t="s">
        <v>146</v>
      </c>
      <c r="F71" s="20" t="s">
        <v>161</v>
      </c>
      <c r="G71" s="19" t="s">
        <v>14</v>
      </c>
      <c r="H71" s="20" t="s">
        <v>149</v>
      </c>
      <c r="I71" s="19" t="s">
        <v>14</v>
      </c>
      <c r="J71" s="20"/>
    </row>
    <row r="72" customFormat="false" ht="49.5" hidden="false" customHeight="true" outlineLevel="0" collapsed="false">
      <c r="A72" s="19" t="n">
        <v>68</v>
      </c>
      <c r="B72" s="20" t="s">
        <v>146</v>
      </c>
      <c r="C72" s="20" t="s">
        <v>162</v>
      </c>
      <c r="D72" s="19" t="s">
        <v>14</v>
      </c>
      <c r="E72" s="20" t="s">
        <v>146</v>
      </c>
      <c r="F72" s="20" t="s">
        <v>163</v>
      </c>
      <c r="G72" s="19" t="s">
        <v>14</v>
      </c>
      <c r="H72" s="20" t="s">
        <v>149</v>
      </c>
      <c r="I72" s="19" t="s">
        <v>14</v>
      </c>
      <c r="J72" s="20"/>
    </row>
    <row r="73" customFormat="false" ht="49.5" hidden="false" customHeight="true" outlineLevel="0" collapsed="false">
      <c r="A73" s="19" t="n">
        <v>69</v>
      </c>
      <c r="B73" s="20" t="s">
        <v>146</v>
      </c>
      <c r="C73" s="20" t="s">
        <v>164</v>
      </c>
      <c r="D73" s="19" t="s">
        <v>14</v>
      </c>
      <c r="E73" s="20" t="s">
        <v>146</v>
      </c>
      <c r="F73" s="20" t="s">
        <v>165</v>
      </c>
      <c r="G73" s="19" t="s">
        <v>14</v>
      </c>
      <c r="H73" s="20" t="s">
        <v>149</v>
      </c>
      <c r="I73" s="19" t="s">
        <v>14</v>
      </c>
      <c r="J73" s="20"/>
    </row>
    <row r="74" customFormat="false" ht="49.5" hidden="false" customHeight="true" outlineLevel="0" collapsed="false">
      <c r="A74" s="19" t="n">
        <v>70</v>
      </c>
      <c r="B74" s="20" t="s">
        <v>146</v>
      </c>
      <c r="C74" s="20" t="s">
        <v>166</v>
      </c>
      <c r="D74" s="19" t="s">
        <v>14</v>
      </c>
      <c r="E74" s="20" t="s">
        <v>146</v>
      </c>
      <c r="F74" s="20" t="s">
        <v>167</v>
      </c>
      <c r="G74" s="19" t="s">
        <v>14</v>
      </c>
      <c r="H74" s="20" t="s">
        <v>149</v>
      </c>
      <c r="I74" s="19" t="s">
        <v>14</v>
      </c>
      <c r="J74" s="20"/>
    </row>
    <row r="75" customFormat="false" ht="49.5" hidden="false" customHeight="true" outlineLevel="0" collapsed="false">
      <c r="A75" s="19" t="n">
        <v>71</v>
      </c>
      <c r="B75" s="20" t="s">
        <v>146</v>
      </c>
      <c r="C75" s="20" t="s">
        <v>168</v>
      </c>
      <c r="D75" s="19" t="s">
        <v>14</v>
      </c>
      <c r="E75" s="20" t="s">
        <v>146</v>
      </c>
      <c r="F75" s="20" t="s">
        <v>169</v>
      </c>
      <c r="G75" s="19" t="s">
        <v>14</v>
      </c>
      <c r="H75" s="20" t="s">
        <v>149</v>
      </c>
      <c r="I75" s="19" t="s">
        <v>14</v>
      </c>
      <c r="J75" s="20"/>
    </row>
    <row r="76" customFormat="false" ht="49.5" hidden="false" customHeight="true" outlineLevel="0" collapsed="false">
      <c r="A76" s="19" t="n">
        <v>72</v>
      </c>
      <c r="B76" s="20" t="s">
        <v>146</v>
      </c>
      <c r="C76" s="20" t="s">
        <v>170</v>
      </c>
      <c r="D76" s="19" t="s">
        <v>14</v>
      </c>
      <c r="E76" s="20" t="s">
        <v>146</v>
      </c>
      <c r="F76" s="20" t="s">
        <v>171</v>
      </c>
      <c r="G76" s="19" t="s">
        <v>14</v>
      </c>
      <c r="H76" s="20" t="s">
        <v>149</v>
      </c>
      <c r="I76" s="19" t="s">
        <v>14</v>
      </c>
      <c r="J76" s="20"/>
    </row>
    <row r="77" customFormat="false" ht="49.5" hidden="false" customHeight="true" outlineLevel="0" collapsed="false">
      <c r="A77" s="19" t="n">
        <v>73</v>
      </c>
      <c r="B77" s="20" t="s">
        <v>146</v>
      </c>
      <c r="C77" s="20" t="s">
        <v>172</v>
      </c>
      <c r="D77" s="19" t="s">
        <v>14</v>
      </c>
      <c r="E77" s="20" t="s">
        <v>146</v>
      </c>
      <c r="F77" s="20" t="s">
        <v>173</v>
      </c>
      <c r="G77" s="19" t="s">
        <v>14</v>
      </c>
      <c r="H77" s="20" t="s">
        <v>149</v>
      </c>
      <c r="I77" s="19" t="s">
        <v>14</v>
      </c>
      <c r="J77" s="20"/>
    </row>
    <row r="78" customFormat="false" ht="49.5" hidden="false" customHeight="true" outlineLevel="0" collapsed="false">
      <c r="A78" s="19" t="n">
        <v>74</v>
      </c>
      <c r="B78" s="20" t="s">
        <v>146</v>
      </c>
      <c r="C78" s="20" t="s">
        <v>174</v>
      </c>
      <c r="D78" s="19" t="s">
        <v>14</v>
      </c>
      <c r="E78" s="20" t="s">
        <v>146</v>
      </c>
      <c r="F78" s="20" t="s">
        <v>175</v>
      </c>
      <c r="G78" s="19" t="s">
        <v>14</v>
      </c>
      <c r="H78" s="20" t="s">
        <v>149</v>
      </c>
      <c r="I78" s="19" t="s">
        <v>14</v>
      </c>
      <c r="J78" s="20"/>
    </row>
    <row r="79" customFormat="false" ht="49.5" hidden="false" customHeight="true" outlineLevel="0" collapsed="false">
      <c r="A79" s="19" t="n">
        <v>75</v>
      </c>
      <c r="B79" s="20" t="s">
        <v>146</v>
      </c>
      <c r="C79" s="20" t="s">
        <v>176</v>
      </c>
      <c r="D79" s="19" t="s">
        <v>14</v>
      </c>
      <c r="E79" s="20" t="s">
        <v>146</v>
      </c>
      <c r="F79" s="20" t="s">
        <v>177</v>
      </c>
      <c r="G79" s="19" t="s">
        <v>14</v>
      </c>
      <c r="H79" s="20" t="s">
        <v>149</v>
      </c>
      <c r="I79" s="19" t="s">
        <v>14</v>
      </c>
      <c r="J79" s="20"/>
    </row>
  </sheetData>
  <mergeCells count="2">
    <mergeCell ref="A1:J1"/>
    <mergeCell ref="A2:J2"/>
  </mergeCells>
  <conditionalFormatting sqref="D5:D7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G5:G79">
    <cfRule type="cellIs" priority="4" operator="equal" aboveAverage="0" equalAverage="0" bottom="0" percent="0" rank="0" text="" dxfId="0">
      <formula>"Yes"</formula>
    </cfRule>
    <cfRule type="cellIs" priority="5" operator="equal" aboveAverage="0" equalAverage="0" bottom="0" percent="0" rank="0" text="" dxfId="1">
      <formula>"No"</formula>
    </cfRule>
  </conditionalFormatting>
  <conditionalFormatting sqref="I5:I79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1">
      <formula>"No"</formula>
    </cfRule>
  </conditionalFormatting>
  <dataValidations count="1">
    <dataValidation allowBlank="false" errorStyle="stop" operator="between" showDropDown="false" showErrorMessage="false" showInputMessage="false" sqref="D5:D79 G5:G79 I5:I7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2" t="s">
        <v>178</v>
      </c>
      <c r="B1" s="2"/>
      <c r="C1" s="2"/>
    </row>
    <row r="3" customFormat="false" ht="15" hidden="false" customHeight="true" outlineLevel="0" collapsed="false">
      <c r="A3" s="4" t="s">
        <v>179</v>
      </c>
      <c r="B3" s="4" t="s">
        <v>180</v>
      </c>
      <c r="C3" s="4" t="s">
        <v>181</v>
      </c>
    </row>
    <row r="4" customFormat="false" ht="19.5" hidden="false" customHeight="true" outlineLevel="0" collapsed="false">
      <c r="A4" s="21" t="s">
        <v>182</v>
      </c>
      <c r="B4" s="22" t="s">
        <v>183</v>
      </c>
      <c r="C4" s="23" t="s">
        <v>184</v>
      </c>
    </row>
    <row r="5" customFormat="false" ht="19.5" hidden="false" customHeight="true" outlineLevel="0" collapsed="false">
      <c r="A5" s="21" t="s">
        <v>15</v>
      </c>
      <c r="B5" s="22" t="s">
        <v>185</v>
      </c>
      <c r="C5" s="23" t="s">
        <v>186</v>
      </c>
    </row>
    <row r="6" customFormat="false" ht="19.5" hidden="false" customHeight="true" outlineLevel="0" collapsed="false">
      <c r="A6" s="21" t="s">
        <v>70</v>
      </c>
      <c r="B6" s="22" t="s">
        <v>187</v>
      </c>
      <c r="C6" s="23" t="s">
        <v>186</v>
      </c>
    </row>
    <row r="7" customFormat="false" ht="19.5" hidden="false" customHeight="true" outlineLevel="0" collapsed="false">
      <c r="A7" s="21" t="s">
        <v>104</v>
      </c>
      <c r="B7" s="22" t="s">
        <v>188</v>
      </c>
      <c r="C7" s="23" t="s">
        <v>186</v>
      </c>
    </row>
    <row r="8" customFormat="false" ht="19.5" hidden="false" customHeight="true" outlineLevel="0" collapsed="false">
      <c r="A8" s="21" t="s">
        <v>112</v>
      </c>
      <c r="B8" s="22" t="s">
        <v>189</v>
      </c>
      <c r="C8" s="23" t="s">
        <v>186</v>
      </c>
    </row>
    <row r="9" customFormat="false" ht="19.5" hidden="false" customHeight="true" outlineLevel="0" collapsed="false">
      <c r="A9" s="21" t="s">
        <v>122</v>
      </c>
      <c r="B9" s="22" t="s">
        <v>190</v>
      </c>
      <c r="C9" s="23" t="s">
        <v>186</v>
      </c>
    </row>
    <row r="11" customFormat="false" ht="15" hidden="false" customHeight="true" outlineLevel="0" collapsed="false">
      <c r="A11" s="24" t="s">
        <v>191</v>
      </c>
      <c r="B11" s="24"/>
      <c r="C11" s="24"/>
    </row>
  </sheetData>
  <mergeCells count="2">
    <mergeCell ref="A1:C1"/>
    <mergeCell ref="A11:C11"/>
  </mergeCells>
  <hyperlinks>
    <hyperlink ref="B4" r:id="rId1" display="https://www.youtube.com/playlist?list=PLhR2IpV1b2FwWwviBHRrR118YAaSlyhTU"/>
    <hyperlink ref="B5" r:id="rId2" display="https://www.youtube.com/playlist?list=PLKnIA16_Rmvbr7zKYQuBfsVkjoLcJgxHH"/>
    <hyperlink ref="B6" r:id="rId3" display="https://www.youtube.com/playlist?list=PLKnIA16_RmvYuZauWaPlRTC54KxSNLtNn"/>
    <hyperlink ref="B7" r:id="rId4" display="https://www.youtube.com/playlist?list=PLKnIA16_RmvaTbihpo4MtzVm4XOQa0ER0"/>
    <hyperlink ref="B8" r:id="rId5" display="https://www.youtube.com/playlist?list=PLKnIA16_RmvYsvB8qkUQuJmJNuiCUJFPL"/>
    <hyperlink ref="B9" r:id="rId6" display="https://www.youtube.com/playlist?list=PLKnIA16_RmvZ41tjbKB2ZnwchfniNsMu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45"/>
  </cols>
  <sheetData>
    <row r="1" customFormat="false" ht="27.75" hidden="false" customHeight="true" outlineLevel="0" collapsed="false">
      <c r="A1" s="2" t="s">
        <v>192</v>
      </c>
      <c r="B1" s="2"/>
      <c r="C1" s="2"/>
    </row>
    <row r="3" customFormat="false" ht="15" hidden="false" customHeight="true" outlineLevel="0" collapsed="false">
      <c r="A3" s="4" t="s">
        <v>193</v>
      </c>
      <c r="B3" s="4" t="s">
        <v>194</v>
      </c>
    </row>
    <row r="4" customFormat="false" ht="15" hidden="false" customHeight="true" outlineLevel="0" collapsed="false">
      <c r="A4" s="25" t="s">
        <v>195</v>
      </c>
      <c r="B4" s="26" t="n">
        <f aca="false">75</f>
        <v>75</v>
      </c>
    </row>
    <row r="5" customFormat="false" ht="15" hidden="false" customHeight="true" outlineLevel="0" collapsed="false">
      <c r="A5" s="25" t="s">
        <v>196</v>
      </c>
      <c r="B5" s="26" t="n">
        <f aca="false">COUNTIF('Daily Plan'!D5:D79,"Yes")</f>
        <v>0</v>
      </c>
    </row>
    <row r="6" customFormat="false" ht="15" hidden="false" customHeight="true" outlineLevel="0" collapsed="false">
      <c r="A6" s="25" t="s">
        <v>197</v>
      </c>
      <c r="B6" s="26" t="n">
        <f aca="false">75-B5</f>
        <v>75</v>
      </c>
    </row>
    <row r="7" customFormat="false" ht="15" hidden="false" customHeight="true" outlineLevel="0" collapsed="false">
      <c r="A7" s="25" t="s">
        <v>198</v>
      </c>
      <c r="B7" s="27" t="n">
        <f aca="false">B5/75</f>
        <v>0</v>
      </c>
    </row>
    <row r="8" customFormat="false" ht="15" hidden="false" customHeight="true" outlineLevel="0" collapsed="false">
      <c r="A8" s="25" t="s">
        <v>199</v>
      </c>
      <c r="B8" s="26" t="n">
        <f aca="false">COUNTIF('Daily Plan'!G5:G79,"Yes")</f>
        <v>0</v>
      </c>
    </row>
    <row r="9" customFormat="false" ht="15" hidden="false" customHeight="true" outlineLevel="0" collapsed="false">
      <c r="A9" s="25" t="s">
        <v>200</v>
      </c>
      <c r="B9" s="26" t="n">
        <f aca="false">75-B8</f>
        <v>75</v>
      </c>
    </row>
    <row r="10" customFormat="false" ht="15" hidden="false" customHeight="true" outlineLevel="0" collapsed="false">
      <c r="A10" s="25" t="s">
        <v>201</v>
      </c>
      <c r="B10" s="27" t="n">
        <f aca="false">B8/75</f>
        <v>0</v>
      </c>
    </row>
    <row r="11" customFormat="false" ht="15" hidden="false" customHeight="true" outlineLevel="0" collapsed="false">
      <c r="A11" s="25" t="s">
        <v>202</v>
      </c>
      <c r="B11" s="26" t="n">
        <f aca="false">COUNTIF('Daily Plan'!I5:I79,"Yes")</f>
        <v>0</v>
      </c>
    </row>
    <row r="12" customFormat="false" ht="15" hidden="false" customHeight="true" outlineLevel="0" collapsed="false">
      <c r="A12" s="25" t="s">
        <v>203</v>
      </c>
      <c r="B12" s="27" t="n">
        <f aca="false">B11/75</f>
        <v>0</v>
      </c>
    </row>
    <row r="13" customFormat="false" ht="15" hidden="false" customHeight="true" outlineLevel="0" collapsed="false">
      <c r="A13" s="25" t="s">
        <v>204</v>
      </c>
      <c r="B13" s="27" t="n">
        <f aca="false">(B6+B9+B12)/3</f>
        <v>50</v>
      </c>
    </row>
    <row r="16" customFormat="false" ht="15" hidden="false" customHeight="true" outlineLevel="0" collapsed="false">
      <c r="A16" s="28" t="s">
        <v>205</v>
      </c>
    </row>
    <row r="17" customFormat="false" ht="15" hidden="false" customHeight="true" outlineLevel="0" collapsed="false">
      <c r="A17" s="4" t="s">
        <v>3</v>
      </c>
      <c r="B17" s="4" t="s">
        <v>206</v>
      </c>
      <c r="C17" s="4" t="s">
        <v>207</v>
      </c>
    </row>
    <row r="18" customFormat="false" ht="15" hidden="false" customHeight="true" outlineLevel="0" collapsed="false">
      <c r="A18" s="6" t="s">
        <v>12</v>
      </c>
      <c r="B18" s="5" t="n">
        <v>8</v>
      </c>
      <c r="C18" s="5" t="s">
        <v>208</v>
      </c>
    </row>
    <row r="19" customFormat="false" ht="15" hidden="false" customHeight="true" outlineLevel="0" collapsed="false">
      <c r="A19" s="8" t="s">
        <v>15</v>
      </c>
      <c r="B19" s="7" t="n">
        <v>19</v>
      </c>
      <c r="C19" s="7" t="s">
        <v>209</v>
      </c>
    </row>
    <row r="20" customFormat="false" ht="15" hidden="false" customHeight="true" outlineLevel="0" collapsed="false">
      <c r="A20" s="10" t="s">
        <v>70</v>
      </c>
      <c r="B20" s="9" t="n">
        <v>16</v>
      </c>
      <c r="C20" s="9" t="s">
        <v>210</v>
      </c>
    </row>
    <row r="21" customFormat="false" ht="15" hidden="false" customHeight="true" outlineLevel="0" collapsed="false">
      <c r="A21" s="12" t="s">
        <v>104</v>
      </c>
      <c r="B21" s="11" t="n">
        <v>3</v>
      </c>
      <c r="C21" s="11" t="s">
        <v>211</v>
      </c>
    </row>
    <row r="22" customFormat="false" ht="15" hidden="false" customHeight="true" outlineLevel="0" collapsed="false">
      <c r="A22" s="14" t="s">
        <v>112</v>
      </c>
      <c r="B22" s="13" t="n">
        <v>4</v>
      </c>
      <c r="C22" s="13" t="s">
        <v>212</v>
      </c>
    </row>
    <row r="23" customFormat="false" ht="15" hidden="false" customHeight="true" outlineLevel="0" collapsed="false">
      <c r="A23" s="16" t="s">
        <v>122</v>
      </c>
      <c r="B23" s="15" t="n">
        <v>3</v>
      </c>
      <c r="C23" s="15" t="s">
        <v>213</v>
      </c>
    </row>
    <row r="24" customFormat="false" ht="15" hidden="false" customHeight="true" outlineLevel="0" collapsed="false">
      <c r="A24" s="18" t="s">
        <v>130</v>
      </c>
      <c r="B24" s="17" t="n">
        <v>7</v>
      </c>
      <c r="C24" s="17" t="s">
        <v>214</v>
      </c>
    </row>
    <row r="25" customFormat="false" ht="15" hidden="false" customHeight="true" outlineLevel="0" collapsed="false">
      <c r="A25" s="20" t="s">
        <v>146</v>
      </c>
      <c r="B25" s="19" t="n">
        <v>15</v>
      </c>
      <c r="C25" s="19" t="s">
        <v>215</v>
      </c>
    </row>
    <row r="27" customFormat="false" ht="15" hidden="false" customHeight="true" outlineLevel="0" collapsed="false">
      <c r="A27" s="29" t="s">
        <v>216</v>
      </c>
    </row>
    <row r="28" customFormat="false" ht="15" hidden="false" customHeight="true" outlineLevel="0" collapsed="false">
      <c r="A28" s="30" t="s">
        <v>217</v>
      </c>
      <c r="B28" s="30"/>
      <c r="C28" s="30"/>
    </row>
    <row r="29" customFormat="false" ht="15" hidden="false" customHeight="true" outlineLevel="0" collapsed="false">
      <c r="A29" s="30"/>
      <c r="B29" s="30"/>
      <c r="C29" s="30"/>
    </row>
    <row r="30" customFormat="false" ht="15" hidden="false" customHeight="true" outlineLevel="0" collapsed="false">
      <c r="A30" s="30"/>
      <c r="B30" s="30"/>
      <c r="C30" s="30"/>
    </row>
    <row r="31" customFormat="false" ht="15" hidden="false" customHeight="true" outlineLevel="0" collapsed="false">
      <c r="A31" s="30"/>
      <c r="B31" s="30"/>
      <c r="C31" s="30"/>
    </row>
    <row r="32" customFormat="false" ht="15" hidden="false" customHeight="true" outlineLevel="0" collapsed="false">
      <c r="A32" s="30"/>
      <c r="B32" s="30"/>
      <c r="C32" s="30"/>
    </row>
    <row r="33" customFormat="false" ht="15" hidden="false" customHeight="true" outlineLevel="0" collapsed="false">
      <c r="A33" s="30"/>
      <c r="B33" s="30"/>
      <c r="C33" s="30"/>
    </row>
  </sheetData>
  <mergeCells count="2">
    <mergeCell ref="A1:C1"/>
    <mergeCell ref="A28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2026-08-27T20:22:30Z</dcterms:created>
  <dc:creator>openpyxl</dc:creator>
  <dc:description/>
  <dc:language>en-US</dc:language>
  <cp:lastModifiedBy/>
  <dcterms:modified xsi:type="dcterms:W3CDTF">2026-08-28T06:36:42Z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